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instellungen" state="visible" r:id="rId4"/>
    <sheet sheetId="2" name="Teams" state="visible" r:id="rId5"/>
    <sheet sheetId="3" name="Spielplan" state="visible" r:id="rId6"/>
    <sheet sheetId="4" name="Gruppe A" state="visible" r:id="rId7"/>
    <sheet sheetId="5" name="Gruppe B" state="visible" r:id="rId8"/>
    <sheet sheetId="6" name="Turnierbaum" state="visible" r:id="rId9"/>
    <sheet sheetId="7" name="Endplatzierung" state="visible" r:id="rId10"/>
    <sheet sheetId="8" name="Spieler" state="visible" r:id="rId11"/>
  </sheets>
  <calcPr calcId="171027"/>
</workbook>
</file>

<file path=xl/sharedStrings.xml><?xml version="1.0" encoding="utf-8"?>
<sst xmlns="http://schemas.openxmlformats.org/spreadsheetml/2006/main" count="277" uniqueCount="118">
  <si>
    <t>Feld</t>
  </si>
  <si>
    <t>Wert</t>
  </si>
  <si>
    <t>Turniername</t>
  </si>
  <si>
    <t>Stammtischturnier 2026</t>
  </si>
  <si>
    <t>Datum</t>
  </si>
  <si>
    <t>14.11.2026</t>
  </si>
  <si>
    <t>Startzeit</t>
  </si>
  <si>
    <t>14:00</t>
  </si>
  <si>
    <t>Spieldauer (Min.)</t>
  </si>
  <si>
    <t>10</t>
  </si>
  <si>
    <t>Pause (Min.)</t>
  </si>
  <si>
    <t>2</t>
  </si>
  <si>
    <t>Code</t>
  </si>
  <si>
    <t>Team</t>
  </si>
  <si>
    <t>Gruppe</t>
  </si>
  <si>
    <t>Los</t>
  </si>
  <si>
    <t>A1</t>
  </si>
  <si>
    <t>Team A1</t>
  </si>
  <si>
    <t>A</t>
  </si>
  <si>
    <t>A2</t>
  </si>
  <si>
    <t>Team A2</t>
  </si>
  <si>
    <t>A3</t>
  </si>
  <si>
    <t>Team A3</t>
  </si>
  <si>
    <t>A4</t>
  </si>
  <si>
    <t>Team A4</t>
  </si>
  <si>
    <t>A5</t>
  </si>
  <si>
    <t>Team A5</t>
  </si>
  <si>
    <t>B1</t>
  </si>
  <si>
    <t>Team B1</t>
  </si>
  <si>
    <t>B</t>
  </si>
  <si>
    <t>B2</t>
  </si>
  <si>
    <t>Team B2</t>
  </si>
  <si>
    <t>B3</t>
  </si>
  <si>
    <t>Team B3</t>
  </si>
  <si>
    <t>B4</t>
  </si>
  <si>
    <t>Team B4</t>
  </si>
  <si>
    <t>B5</t>
  </si>
  <si>
    <t>Team B5</t>
  </si>
  <si>
    <t>Nr.</t>
  </si>
  <si>
    <t>Phase</t>
  </si>
  <si>
    <t>Zeit</t>
  </si>
  <si>
    <t>Runde</t>
  </si>
  <si>
    <t>Code A</t>
  </si>
  <si>
    <t>Team A</t>
  </si>
  <si>
    <t>Code B</t>
  </si>
  <si>
    <t>Team B</t>
  </si>
  <si>
    <t>Tore A</t>
  </si>
  <si>
    <t>Tore B</t>
  </si>
  <si>
    <t>Sieger</t>
  </si>
  <si>
    <t>Sieger-Code</t>
  </si>
  <si>
    <t>Verlierer-Code</t>
  </si>
  <si>
    <t>Gruppenphase</t>
  </si>
  <si>
    <t>Gruppe A</t>
  </si>
  <si>
    <t>Gruppe B</t>
  </si>
  <si>
    <t>Platzierungsspiel</t>
  </si>
  <si>
    <t>Spiel um Platz 9</t>
  </si>
  <si>
    <t>Halbfinale</t>
  </si>
  <si>
    <t>Halbfinale 1</t>
  </si>
  <si>
    <t>Spiel um Platz 7</t>
  </si>
  <si>
    <t>Halbfinale 2</t>
  </si>
  <si>
    <t>Spiel um Platz 5</t>
  </si>
  <si>
    <t>Spiel um Platz 3</t>
  </si>
  <si>
    <t>Finale</t>
  </si>
  <si>
    <t>Platz</t>
  </si>
  <si>
    <t>Sp</t>
  </si>
  <si>
    <t>S</t>
  </si>
  <si>
    <t>U</t>
  </si>
  <si>
    <t>N</t>
  </si>
  <si>
    <t>Tore</t>
  </si>
  <si>
    <t>Gegentore</t>
  </si>
  <si>
    <t>Diff</t>
  </si>
  <si>
    <t>Pkt</t>
  </si>
  <si>
    <t>Hinweis</t>
  </si>
  <si>
    <t>KO-Code</t>
  </si>
  <si>
    <t>Platzhalter</t>
  </si>
  <si>
    <t>Rechenhilfe – nicht bearbeiten</t>
  </si>
  <si>
    <t>Mini-Pkt A1</t>
  </si>
  <si>
    <t>Mini-Pkt A2</t>
  </si>
  <si>
    <t>Mini-Pkt A3</t>
  </si>
  <si>
    <t>Mini-Pkt A4</t>
  </si>
  <si>
    <t>Mini-Pkt A5</t>
  </si>
  <si>
    <t>Mini-Diff A1</t>
  </si>
  <si>
    <t>Mini-Diff A2</t>
  </si>
  <si>
    <t>Mini-Diff A3</t>
  </si>
  <si>
    <t>Mini-Diff A4</t>
  </si>
  <si>
    <t>Mini-Diff A5</t>
  </si>
  <si>
    <t>Mini-Pkt</t>
  </si>
  <si>
    <t>Mini-Diff</t>
  </si>
  <si>
    <t>Schlüssel</t>
  </si>
  <si>
    <t>Rang</t>
  </si>
  <si>
    <t>Los offen</t>
  </si>
  <si>
    <t>Anzeigeplatz</t>
  </si>
  <si>
    <t>Gruppe komplett</t>
  </si>
  <si>
    <t>Mini-Pkt B1</t>
  </si>
  <si>
    <t>Mini-Pkt B2</t>
  </si>
  <si>
    <t>Mini-Pkt B3</t>
  </si>
  <si>
    <t>Mini-Pkt B4</t>
  </si>
  <si>
    <t>Mini-Pkt B5</t>
  </si>
  <si>
    <t>Mini-Diff B1</t>
  </si>
  <si>
    <t>Mini-Diff B2</t>
  </si>
  <si>
    <t>Mini-Diff B3</t>
  </si>
  <si>
    <t>Mini-Diff B4</t>
  </si>
  <si>
    <t>Mini-Diff B5</t>
  </si>
  <si>
    <t>Turnierbaum – füllt sich automatisch aus dem Spielplan</t>
  </si>
  <si>
    <t>Platzierungsspiele</t>
  </si>
  <si>
    <t>Herkunft</t>
  </si>
  <si>
    <t>Sieger Finale</t>
  </si>
  <si>
    <t>Verlierer Finale</t>
  </si>
  <si>
    <t>Sieger Spiel um Platz 3</t>
  </si>
  <si>
    <t>Verlierer Spiel um Platz 3</t>
  </si>
  <si>
    <t>Sieger Spiel um Platz 5</t>
  </si>
  <si>
    <t>Verlierer Spiel um Platz 5</t>
  </si>
  <si>
    <t>Sieger Spiel um Platz 7</t>
  </si>
  <si>
    <t>Verlierer Spiel um Platz 7</t>
  </si>
  <si>
    <t>Sieger Spiel um Platz 9</t>
  </si>
  <si>
    <t>Verlierer Spiel um Platz 9</t>
  </si>
  <si>
    <t>Name</t>
  </si>
  <si>
    <t>Max Mustermann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</si>
</sst>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0" customWidth="1"/>
  </cols>
  <sheetData>
    <row r="1" spans="1:2" s="1" customFormat="1" x14ac:dyDescent="0.25">
      <c r="A1" s="1" t="s">
        <v>0</v>
      </c>
      <c r="B1" s="2" t="s">
        <v>1</v>
      </c>
    </row>
    <row r="2" spans="1:2" x14ac:dyDescent="0.25">
      <c r="A2" t="s">
        <v>2</v>
      </c>
      <c r="B2" s="3" t="s">
        <v>3</v>
      </c>
    </row>
    <row r="3" spans="1:2" x14ac:dyDescent="0.25">
      <c r="A3" t="s">
        <v>4</v>
      </c>
      <c r="B3" s="3" t="s">
        <v>5</v>
      </c>
    </row>
    <row r="4" spans="1:2" x14ac:dyDescent="0.25">
      <c r="A4" t="s">
        <v>6</v>
      </c>
      <c r="B4" s="3" t="s">
        <v>7</v>
      </c>
    </row>
    <row r="5" spans="1:2" x14ac:dyDescent="0.25">
      <c r="A5" t="s">
        <v>8</v>
      </c>
      <c r="B5" s="3" t="s">
        <v>9</v>
      </c>
    </row>
    <row r="6" spans="1:2" x14ac:dyDescent="0.25">
      <c r="A6" t="s">
        <v>10</v>
      </c>
      <c r="B6" s="3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4" customWidth="1"/>
    <col min="3" max="3" width="8" customWidth="1"/>
    <col min="4" max="4" width="6" customWidth="1"/>
  </cols>
  <sheetData>
    <row r="1" spans="1:4" s="1" customFormat="1" x14ac:dyDescent="0.25">
      <c r="A1" s="1" t="s">
        <v>12</v>
      </c>
      <c r="B1" s="1" t="s">
        <v>13</v>
      </c>
      <c r="C1" s="1" t="s">
        <v>14</v>
      </c>
      <c r="D1" s="1" t="s">
        <v>15</v>
      </c>
    </row>
    <row r="2" spans="1:4" x14ac:dyDescent="0.25">
      <c r="A2" t="s">
        <v>16</v>
      </c>
      <c r="B2" s="4" t="s">
        <v>17</v>
      </c>
      <c r="C2" t="s">
        <v>18</v>
      </c>
      <c r="D2" s="4"/>
    </row>
    <row r="3" spans="1:4" x14ac:dyDescent="0.25">
      <c r="A3" t="s">
        <v>19</v>
      </c>
      <c r="B3" s="4" t="s">
        <v>20</v>
      </c>
      <c r="C3" t="s">
        <v>18</v>
      </c>
      <c r="D3" s="4"/>
    </row>
    <row r="4" spans="1:4" x14ac:dyDescent="0.25">
      <c r="A4" t="s">
        <v>21</v>
      </c>
      <c r="B4" s="4" t="s">
        <v>22</v>
      </c>
      <c r="C4" t="s">
        <v>18</v>
      </c>
      <c r="D4" s="4"/>
    </row>
    <row r="5" spans="1:4" x14ac:dyDescent="0.25">
      <c r="A5" t="s">
        <v>23</v>
      </c>
      <c r="B5" s="4" t="s">
        <v>24</v>
      </c>
      <c r="C5" t="s">
        <v>18</v>
      </c>
      <c r="D5" s="4"/>
    </row>
    <row r="6" spans="1:4" x14ac:dyDescent="0.25">
      <c r="A6" t="s">
        <v>25</v>
      </c>
      <c r="B6" s="4" t="s">
        <v>26</v>
      </c>
      <c r="C6" t="s">
        <v>18</v>
      </c>
      <c r="D6" s="4"/>
    </row>
    <row r="7" spans="1:4" x14ac:dyDescent="0.25">
      <c r="A7" t="s">
        <v>27</v>
      </c>
      <c r="B7" s="4" t="s">
        <v>28</v>
      </c>
      <c r="C7" t="s">
        <v>29</v>
      </c>
      <c r="D7" s="4"/>
    </row>
    <row r="8" spans="1:4" x14ac:dyDescent="0.25">
      <c r="A8" t="s">
        <v>30</v>
      </c>
      <c r="B8" s="4" t="s">
        <v>31</v>
      </c>
      <c r="C8" t="s">
        <v>29</v>
      </c>
      <c r="D8" s="4"/>
    </row>
    <row r="9" spans="1:4" x14ac:dyDescent="0.25">
      <c r="A9" t="s">
        <v>32</v>
      </c>
      <c r="B9" s="4" t="s">
        <v>33</v>
      </c>
      <c r="C9" t="s">
        <v>29</v>
      </c>
      <c r="D9" s="4"/>
    </row>
    <row r="10" spans="1:4" x14ac:dyDescent="0.25">
      <c r="A10" t="s">
        <v>34</v>
      </c>
      <c r="B10" s="4" t="s">
        <v>35</v>
      </c>
      <c r="C10" t="s">
        <v>29</v>
      </c>
      <c r="D10" s="4"/>
    </row>
    <row r="11" spans="1:4" x14ac:dyDescent="0.25">
      <c r="A11" t="s">
        <v>36</v>
      </c>
      <c r="B11" s="4" t="s">
        <v>37</v>
      </c>
      <c r="C11" t="s">
        <v>29</v>
      </c>
      <c r="D11" s="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6" customWidth="1"/>
    <col min="3" max="3" width="7" customWidth="1"/>
    <col min="4" max="4" width="18" customWidth="1"/>
    <col min="5" max="5" width="8" customWidth="1"/>
    <col min="6" max="6" width="26" customWidth="1"/>
    <col min="7" max="7" width="8" customWidth="1"/>
    <col min="8" max="8" width="26" customWidth="1"/>
    <col min="9" max="10" width="7" customWidth="1"/>
    <col min="11" max="11" width="26" customWidth="1"/>
    <col min="12" max="12" width="11" hidden="1" customWidth="1"/>
    <col min="13" max="13" width="13" hidden="1" customWidth="1"/>
  </cols>
  <sheetData>
    <row r="1" spans="1:13" s="1" customFormat="1" x14ac:dyDescent="0.25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  <c r="K1" s="1" t="s">
        <v>48</v>
      </c>
      <c r="L1" s="1" t="s">
        <v>49</v>
      </c>
      <c r="M1" s="1" t="s">
        <v>50</v>
      </c>
    </row>
    <row r="2" spans="1:13" x14ac:dyDescent="0.25">
      <c r="A2">
        <v>1</v>
      </c>
      <c r="B2" t="s">
        <v>51</v>
      </c>
      <c r="C2">
        <f>TEXT(TIMEVALUE(Einstellungen!$B$4)+(A2-1)*(VALUE(Einstellungen!$B$5)+VALUE(Einstellungen!$B$6))/1440,"hh:mm")</f>
      </c>
      <c r="D2" t="s">
        <v>52</v>
      </c>
      <c r="E2" t="s">
        <v>16</v>
      </c>
      <c r="F2">
        <f>IFERROR(INDEX(Teams!$B$2:$B$11,MATCH(E2,Teams!$A$2:$A$11,0)),"")</f>
      </c>
      <c r="G2" t="s">
        <v>19</v>
      </c>
      <c r="H2">
        <f>IFERROR(INDEX(Teams!$B$2:$B$11,MATCH(G2,Teams!$A$2:$A$11,0)),"")</f>
      </c>
      <c r="I2" s="4"/>
      <c r="J2" s="4"/>
      <c r="K2">
        <f>IF(OR(I2="",J2=""),"",IF(I2&gt;J2,F2,IF(J2&gt;I2,H2,"Unentschieden")))</f>
      </c>
      <c r="L2">
        <f>IF(OR(I2="",J2=""),"",IF(I2&gt;J2,E2,IF(J2&gt;I2,G2,"")))</f>
      </c>
      <c r="M2">
        <f>IF(OR(I2="",J2=""),"",IF(I2&gt;J2,G2,IF(J2&gt;I2,E2,"")))</f>
      </c>
    </row>
    <row r="3" spans="1:13" x14ac:dyDescent="0.25">
      <c r="A3">
        <v>2</v>
      </c>
      <c r="B3" t="s">
        <v>51</v>
      </c>
      <c r="C3">
        <f>TEXT(TIMEVALUE(Einstellungen!$B$4)+(A3-1)*(VALUE(Einstellungen!$B$5)+VALUE(Einstellungen!$B$6))/1440,"hh:mm")</f>
      </c>
      <c r="D3" t="s">
        <v>53</v>
      </c>
      <c r="E3" t="s">
        <v>27</v>
      </c>
      <c r="F3">
        <f>IFERROR(INDEX(Teams!$B$2:$B$11,MATCH(E3,Teams!$A$2:$A$11,0)),"")</f>
      </c>
      <c r="G3" t="s">
        <v>30</v>
      </c>
      <c r="H3">
        <f>IFERROR(INDEX(Teams!$B$2:$B$11,MATCH(G3,Teams!$A$2:$A$11,0)),"")</f>
      </c>
      <c r="I3" s="4"/>
      <c r="J3" s="4"/>
      <c r="K3">
        <f>IF(OR(I3="",J3=""),"",IF(I3&gt;J3,F3,IF(J3&gt;I3,H3,"Unentschieden")))</f>
      </c>
      <c r="L3">
        <f>IF(OR(I3="",J3=""),"",IF(I3&gt;J3,E3,IF(J3&gt;I3,G3,"")))</f>
      </c>
      <c r="M3">
        <f>IF(OR(I3="",J3=""),"",IF(I3&gt;J3,G3,IF(J3&gt;I3,E3,"")))</f>
      </c>
    </row>
    <row r="4" spans="1:13" x14ac:dyDescent="0.25">
      <c r="A4">
        <v>3</v>
      </c>
      <c r="B4" t="s">
        <v>51</v>
      </c>
      <c r="C4">
        <f>TEXT(TIMEVALUE(Einstellungen!$B$4)+(A4-1)*(VALUE(Einstellungen!$B$5)+VALUE(Einstellungen!$B$6))/1440,"hh:mm")</f>
      </c>
      <c r="D4" t="s">
        <v>52</v>
      </c>
      <c r="E4" t="s">
        <v>21</v>
      </c>
      <c r="F4">
        <f>IFERROR(INDEX(Teams!$B$2:$B$11,MATCH(E4,Teams!$A$2:$A$11,0)),"")</f>
      </c>
      <c r="G4" t="s">
        <v>23</v>
      </c>
      <c r="H4">
        <f>IFERROR(INDEX(Teams!$B$2:$B$11,MATCH(G4,Teams!$A$2:$A$11,0)),"")</f>
      </c>
      <c r="I4" s="4"/>
      <c r="J4" s="4"/>
      <c r="K4">
        <f>IF(OR(I4="",J4=""),"",IF(I4&gt;J4,F4,IF(J4&gt;I4,H4,"Unentschieden")))</f>
      </c>
      <c r="L4">
        <f>IF(OR(I4="",J4=""),"",IF(I4&gt;J4,E4,IF(J4&gt;I4,G4,"")))</f>
      </c>
      <c r="M4">
        <f>IF(OR(I4="",J4=""),"",IF(I4&gt;J4,G4,IF(J4&gt;I4,E4,"")))</f>
      </c>
    </row>
    <row r="5" spans="1:13" x14ac:dyDescent="0.25">
      <c r="A5">
        <v>4</v>
      </c>
      <c r="B5" t="s">
        <v>51</v>
      </c>
      <c r="C5">
        <f>TEXT(TIMEVALUE(Einstellungen!$B$4)+(A5-1)*(VALUE(Einstellungen!$B$5)+VALUE(Einstellungen!$B$6))/1440,"hh:mm")</f>
      </c>
      <c r="D5" t="s">
        <v>53</v>
      </c>
      <c r="E5" t="s">
        <v>32</v>
      </c>
      <c r="F5">
        <f>IFERROR(INDEX(Teams!$B$2:$B$11,MATCH(E5,Teams!$A$2:$A$11,0)),"")</f>
      </c>
      <c r="G5" t="s">
        <v>34</v>
      </c>
      <c r="H5">
        <f>IFERROR(INDEX(Teams!$B$2:$B$11,MATCH(G5,Teams!$A$2:$A$11,0)),"")</f>
      </c>
      <c r="I5" s="4"/>
      <c r="J5" s="4"/>
      <c r="K5">
        <f>IF(OR(I5="",J5=""),"",IF(I5&gt;J5,F5,IF(J5&gt;I5,H5,"Unentschieden")))</f>
      </c>
      <c r="L5">
        <f>IF(OR(I5="",J5=""),"",IF(I5&gt;J5,E5,IF(J5&gt;I5,G5,"")))</f>
      </c>
      <c r="M5">
        <f>IF(OR(I5="",J5=""),"",IF(I5&gt;J5,G5,IF(J5&gt;I5,E5,"")))</f>
      </c>
    </row>
    <row r="6" spans="1:13" x14ac:dyDescent="0.25">
      <c r="A6">
        <v>5</v>
      </c>
      <c r="B6" t="s">
        <v>51</v>
      </c>
      <c r="C6">
        <f>TEXT(TIMEVALUE(Einstellungen!$B$4)+(A6-1)*(VALUE(Einstellungen!$B$5)+VALUE(Einstellungen!$B$6))/1440,"hh:mm")</f>
      </c>
      <c r="D6" t="s">
        <v>52</v>
      </c>
      <c r="E6" t="s">
        <v>16</v>
      </c>
      <c r="F6">
        <f>IFERROR(INDEX(Teams!$B$2:$B$11,MATCH(E6,Teams!$A$2:$A$11,0)),"")</f>
      </c>
      <c r="G6" t="s">
        <v>25</v>
      </c>
      <c r="H6">
        <f>IFERROR(INDEX(Teams!$B$2:$B$11,MATCH(G6,Teams!$A$2:$A$11,0)),"")</f>
      </c>
      <c r="I6" s="4"/>
      <c r="J6" s="4"/>
      <c r="K6">
        <f>IF(OR(I6="",J6=""),"",IF(I6&gt;J6,F6,IF(J6&gt;I6,H6,"Unentschieden")))</f>
      </c>
      <c r="L6">
        <f>IF(OR(I6="",J6=""),"",IF(I6&gt;J6,E6,IF(J6&gt;I6,G6,"")))</f>
      </c>
      <c r="M6">
        <f>IF(OR(I6="",J6=""),"",IF(I6&gt;J6,G6,IF(J6&gt;I6,E6,"")))</f>
      </c>
    </row>
    <row r="7" spans="1:13" x14ac:dyDescent="0.25">
      <c r="A7">
        <v>6</v>
      </c>
      <c r="B7" t="s">
        <v>51</v>
      </c>
      <c r="C7">
        <f>TEXT(TIMEVALUE(Einstellungen!$B$4)+(A7-1)*(VALUE(Einstellungen!$B$5)+VALUE(Einstellungen!$B$6))/1440,"hh:mm")</f>
      </c>
      <c r="D7" t="s">
        <v>53</v>
      </c>
      <c r="E7" t="s">
        <v>27</v>
      </c>
      <c r="F7">
        <f>IFERROR(INDEX(Teams!$B$2:$B$11,MATCH(E7,Teams!$A$2:$A$11,0)),"")</f>
      </c>
      <c r="G7" t="s">
        <v>36</v>
      </c>
      <c r="H7">
        <f>IFERROR(INDEX(Teams!$B$2:$B$11,MATCH(G7,Teams!$A$2:$A$11,0)),"")</f>
      </c>
      <c r="I7" s="4"/>
      <c r="J7" s="4"/>
      <c r="K7">
        <f>IF(OR(I7="",J7=""),"",IF(I7&gt;J7,F7,IF(J7&gt;I7,H7,"Unentschieden")))</f>
      </c>
      <c r="L7">
        <f>IF(OR(I7="",J7=""),"",IF(I7&gt;J7,E7,IF(J7&gt;I7,G7,"")))</f>
      </c>
      <c r="M7">
        <f>IF(OR(I7="",J7=""),"",IF(I7&gt;J7,G7,IF(J7&gt;I7,E7,"")))</f>
      </c>
    </row>
    <row r="8" spans="1:13" x14ac:dyDescent="0.25">
      <c r="A8">
        <v>7</v>
      </c>
      <c r="B8" t="s">
        <v>51</v>
      </c>
      <c r="C8">
        <f>TEXT(TIMEVALUE(Einstellungen!$B$4)+(A8-1)*(VALUE(Einstellungen!$B$5)+VALUE(Einstellungen!$B$6))/1440,"hh:mm")</f>
      </c>
      <c r="D8" t="s">
        <v>52</v>
      </c>
      <c r="E8" t="s">
        <v>19</v>
      </c>
      <c r="F8">
        <f>IFERROR(INDEX(Teams!$B$2:$B$11,MATCH(E8,Teams!$A$2:$A$11,0)),"")</f>
      </c>
      <c r="G8" t="s">
        <v>21</v>
      </c>
      <c r="H8">
        <f>IFERROR(INDEX(Teams!$B$2:$B$11,MATCH(G8,Teams!$A$2:$A$11,0)),"")</f>
      </c>
      <c r="I8" s="4"/>
      <c r="J8" s="4"/>
      <c r="K8">
        <f>IF(OR(I8="",J8=""),"",IF(I8&gt;J8,F8,IF(J8&gt;I8,H8,"Unentschieden")))</f>
      </c>
      <c r="L8">
        <f>IF(OR(I8="",J8=""),"",IF(I8&gt;J8,E8,IF(J8&gt;I8,G8,"")))</f>
      </c>
      <c r="M8">
        <f>IF(OR(I8="",J8=""),"",IF(I8&gt;J8,G8,IF(J8&gt;I8,E8,"")))</f>
      </c>
    </row>
    <row r="9" spans="1:13" x14ac:dyDescent="0.25">
      <c r="A9">
        <v>8</v>
      </c>
      <c r="B9" t="s">
        <v>51</v>
      </c>
      <c r="C9">
        <f>TEXT(TIMEVALUE(Einstellungen!$B$4)+(A9-1)*(VALUE(Einstellungen!$B$5)+VALUE(Einstellungen!$B$6))/1440,"hh:mm")</f>
      </c>
      <c r="D9" t="s">
        <v>53</v>
      </c>
      <c r="E9" t="s">
        <v>30</v>
      </c>
      <c r="F9">
        <f>IFERROR(INDEX(Teams!$B$2:$B$11,MATCH(E9,Teams!$A$2:$A$11,0)),"")</f>
      </c>
      <c r="G9" t="s">
        <v>32</v>
      </c>
      <c r="H9">
        <f>IFERROR(INDEX(Teams!$B$2:$B$11,MATCH(G9,Teams!$A$2:$A$11,0)),"")</f>
      </c>
      <c r="I9" s="4"/>
      <c r="J9" s="4"/>
      <c r="K9">
        <f>IF(OR(I9="",J9=""),"",IF(I9&gt;J9,F9,IF(J9&gt;I9,H9,"Unentschieden")))</f>
      </c>
      <c r="L9">
        <f>IF(OR(I9="",J9=""),"",IF(I9&gt;J9,E9,IF(J9&gt;I9,G9,"")))</f>
      </c>
      <c r="M9">
        <f>IF(OR(I9="",J9=""),"",IF(I9&gt;J9,G9,IF(J9&gt;I9,E9,"")))</f>
      </c>
    </row>
    <row r="10" spans="1:13" x14ac:dyDescent="0.25">
      <c r="A10">
        <v>9</v>
      </c>
      <c r="B10" t="s">
        <v>51</v>
      </c>
      <c r="C10">
        <f>TEXT(TIMEVALUE(Einstellungen!$B$4)+(A10-1)*(VALUE(Einstellungen!$B$5)+VALUE(Einstellungen!$B$6))/1440,"hh:mm")</f>
      </c>
      <c r="D10" t="s">
        <v>52</v>
      </c>
      <c r="E10" t="s">
        <v>23</v>
      </c>
      <c r="F10">
        <f>IFERROR(INDEX(Teams!$B$2:$B$11,MATCH(E10,Teams!$A$2:$A$11,0)),"")</f>
      </c>
      <c r="G10" t="s">
        <v>25</v>
      </c>
      <c r="H10">
        <f>IFERROR(INDEX(Teams!$B$2:$B$11,MATCH(G10,Teams!$A$2:$A$11,0)),"")</f>
      </c>
      <c r="I10" s="4"/>
      <c r="J10" s="4"/>
      <c r="K10">
        <f>IF(OR(I10="",J10=""),"",IF(I10&gt;J10,F10,IF(J10&gt;I10,H10,"Unentschieden")))</f>
      </c>
      <c r="L10">
        <f>IF(OR(I10="",J10=""),"",IF(I10&gt;J10,E10,IF(J10&gt;I10,G10,"")))</f>
      </c>
      <c r="M10">
        <f>IF(OR(I10="",J10=""),"",IF(I10&gt;J10,G10,IF(J10&gt;I10,E10,"")))</f>
      </c>
    </row>
    <row r="11" spans="1:13" x14ac:dyDescent="0.25">
      <c r="A11">
        <v>10</v>
      </c>
      <c r="B11" t="s">
        <v>51</v>
      </c>
      <c r="C11">
        <f>TEXT(TIMEVALUE(Einstellungen!$B$4)+(A11-1)*(VALUE(Einstellungen!$B$5)+VALUE(Einstellungen!$B$6))/1440,"hh:mm")</f>
      </c>
      <c r="D11" t="s">
        <v>53</v>
      </c>
      <c r="E11" t="s">
        <v>34</v>
      </c>
      <c r="F11">
        <f>IFERROR(INDEX(Teams!$B$2:$B$11,MATCH(E11,Teams!$A$2:$A$11,0)),"")</f>
      </c>
      <c r="G11" t="s">
        <v>36</v>
      </c>
      <c r="H11">
        <f>IFERROR(INDEX(Teams!$B$2:$B$11,MATCH(G11,Teams!$A$2:$A$11,0)),"")</f>
      </c>
      <c r="I11" s="4"/>
      <c r="J11" s="4"/>
      <c r="K11">
        <f>IF(OR(I11="",J11=""),"",IF(I11&gt;J11,F11,IF(J11&gt;I11,H11,"Unentschieden")))</f>
      </c>
      <c r="L11">
        <f>IF(OR(I11="",J11=""),"",IF(I11&gt;J11,E11,IF(J11&gt;I11,G11,"")))</f>
      </c>
      <c r="M11">
        <f>IF(OR(I11="",J11=""),"",IF(I11&gt;J11,G11,IF(J11&gt;I11,E11,"")))</f>
      </c>
    </row>
    <row r="12" spans="1:13" x14ac:dyDescent="0.25">
      <c r="A12">
        <v>11</v>
      </c>
      <c r="B12" t="s">
        <v>51</v>
      </c>
      <c r="C12">
        <f>TEXT(TIMEVALUE(Einstellungen!$B$4)+(A12-1)*(VALUE(Einstellungen!$B$5)+VALUE(Einstellungen!$B$6))/1440,"hh:mm")</f>
      </c>
      <c r="D12" t="s">
        <v>52</v>
      </c>
      <c r="E12" t="s">
        <v>16</v>
      </c>
      <c r="F12">
        <f>IFERROR(INDEX(Teams!$B$2:$B$11,MATCH(E12,Teams!$A$2:$A$11,0)),"")</f>
      </c>
      <c r="G12" t="s">
        <v>21</v>
      </c>
      <c r="H12">
        <f>IFERROR(INDEX(Teams!$B$2:$B$11,MATCH(G12,Teams!$A$2:$A$11,0)),"")</f>
      </c>
      <c r="I12" s="4"/>
      <c r="J12" s="4"/>
      <c r="K12">
        <f>IF(OR(I12="",J12=""),"",IF(I12&gt;J12,F12,IF(J12&gt;I12,H12,"Unentschieden")))</f>
      </c>
      <c r="L12">
        <f>IF(OR(I12="",J12=""),"",IF(I12&gt;J12,E12,IF(J12&gt;I12,G12,"")))</f>
      </c>
      <c r="M12">
        <f>IF(OR(I12="",J12=""),"",IF(I12&gt;J12,G12,IF(J12&gt;I12,E12,"")))</f>
      </c>
    </row>
    <row r="13" spans="1:13" x14ac:dyDescent="0.25">
      <c r="A13">
        <v>12</v>
      </c>
      <c r="B13" t="s">
        <v>51</v>
      </c>
      <c r="C13">
        <f>TEXT(TIMEVALUE(Einstellungen!$B$4)+(A13-1)*(VALUE(Einstellungen!$B$5)+VALUE(Einstellungen!$B$6))/1440,"hh:mm")</f>
      </c>
      <c r="D13" t="s">
        <v>53</v>
      </c>
      <c r="E13" t="s">
        <v>27</v>
      </c>
      <c r="F13">
        <f>IFERROR(INDEX(Teams!$B$2:$B$11,MATCH(E13,Teams!$A$2:$A$11,0)),"")</f>
      </c>
      <c r="G13" t="s">
        <v>32</v>
      </c>
      <c r="H13">
        <f>IFERROR(INDEX(Teams!$B$2:$B$11,MATCH(G13,Teams!$A$2:$A$11,0)),"")</f>
      </c>
      <c r="I13" s="4"/>
      <c r="J13" s="4"/>
      <c r="K13">
        <f>IF(OR(I13="",J13=""),"",IF(I13&gt;J13,F13,IF(J13&gt;I13,H13,"Unentschieden")))</f>
      </c>
      <c r="L13">
        <f>IF(OR(I13="",J13=""),"",IF(I13&gt;J13,E13,IF(J13&gt;I13,G13,"")))</f>
      </c>
      <c r="M13">
        <f>IF(OR(I13="",J13=""),"",IF(I13&gt;J13,G13,IF(J13&gt;I13,E13,"")))</f>
      </c>
    </row>
    <row r="14" spans="1:13" x14ac:dyDescent="0.25">
      <c r="A14">
        <v>13</v>
      </c>
      <c r="B14" t="s">
        <v>51</v>
      </c>
      <c r="C14">
        <f>TEXT(TIMEVALUE(Einstellungen!$B$4)+(A14-1)*(VALUE(Einstellungen!$B$5)+VALUE(Einstellungen!$B$6))/1440,"hh:mm")</f>
      </c>
      <c r="D14" t="s">
        <v>52</v>
      </c>
      <c r="E14" t="s">
        <v>19</v>
      </c>
      <c r="F14">
        <f>IFERROR(INDEX(Teams!$B$2:$B$11,MATCH(E14,Teams!$A$2:$A$11,0)),"")</f>
      </c>
      <c r="G14" t="s">
        <v>23</v>
      </c>
      <c r="H14">
        <f>IFERROR(INDEX(Teams!$B$2:$B$11,MATCH(G14,Teams!$A$2:$A$11,0)),"")</f>
      </c>
      <c r="I14" s="4"/>
      <c r="J14" s="4"/>
      <c r="K14">
        <f>IF(OR(I14="",J14=""),"",IF(I14&gt;J14,F14,IF(J14&gt;I14,H14,"Unentschieden")))</f>
      </c>
      <c r="L14">
        <f>IF(OR(I14="",J14=""),"",IF(I14&gt;J14,E14,IF(J14&gt;I14,G14,"")))</f>
      </c>
      <c r="M14">
        <f>IF(OR(I14="",J14=""),"",IF(I14&gt;J14,G14,IF(J14&gt;I14,E14,"")))</f>
      </c>
    </row>
    <row r="15" spans="1:13" x14ac:dyDescent="0.25">
      <c r="A15">
        <v>14</v>
      </c>
      <c r="B15" t="s">
        <v>51</v>
      </c>
      <c r="C15">
        <f>TEXT(TIMEVALUE(Einstellungen!$B$4)+(A15-1)*(VALUE(Einstellungen!$B$5)+VALUE(Einstellungen!$B$6))/1440,"hh:mm")</f>
      </c>
      <c r="D15" t="s">
        <v>53</v>
      </c>
      <c r="E15" t="s">
        <v>30</v>
      </c>
      <c r="F15">
        <f>IFERROR(INDEX(Teams!$B$2:$B$11,MATCH(E15,Teams!$A$2:$A$11,0)),"")</f>
      </c>
      <c r="G15" t="s">
        <v>34</v>
      </c>
      <c r="H15">
        <f>IFERROR(INDEX(Teams!$B$2:$B$11,MATCH(G15,Teams!$A$2:$A$11,0)),"")</f>
      </c>
      <c r="I15" s="4"/>
      <c r="J15" s="4"/>
      <c r="K15">
        <f>IF(OR(I15="",J15=""),"",IF(I15&gt;J15,F15,IF(J15&gt;I15,H15,"Unentschieden")))</f>
      </c>
      <c r="L15">
        <f>IF(OR(I15="",J15=""),"",IF(I15&gt;J15,E15,IF(J15&gt;I15,G15,"")))</f>
      </c>
      <c r="M15">
        <f>IF(OR(I15="",J15=""),"",IF(I15&gt;J15,G15,IF(J15&gt;I15,E15,"")))</f>
      </c>
    </row>
    <row r="16" spans="1:13" x14ac:dyDescent="0.25">
      <c r="A16">
        <v>15</v>
      </c>
      <c r="B16" t="s">
        <v>51</v>
      </c>
      <c r="C16">
        <f>TEXT(TIMEVALUE(Einstellungen!$B$4)+(A16-1)*(VALUE(Einstellungen!$B$5)+VALUE(Einstellungen!$B$6))/1440,"hh:mm")</f>
      </c>
      <c r="D16" t="s">
        <v>52</v>
      </c>
      <c r="E16" t="s">
        <v>21</v>
      </c>
      <c r="F16">
        <f>IFERROR(INDEX(Teams!$B$2:$B$11,MATCH(E16,Teams!$A$2:$A$11,0)),"")</f>
      </c>
      <c r="G16" t="s">
        <v>25</v>
      </c>
      <c r="H16">
        <f>IFERROR(INDEX(Teams!$B$2:$B$11,MATCH(G16,Teams!$A$2:$A$11,0)),"")</f>
      </c>
      <c r="I16" s="4"/>
      <c r="J16" s="4"/>
      <c r="K16">
        <f>IF(OR(I16="",J16=""),"",IF(I16&gt;J16,F16,IF(J16&gt;I16,H16,"Unentschieden")))</f>
      </c>
      <c r="L16">
        <f>IF(OR(I16="",J16=""),"",IF(I16&gt;J16,E16,IF(J16&gt;I16,G16,"")))</f>
      </c>
      <c r="M16">
        <f>IF(OR(I16="",J16=""),"",IF(I16&gt;J16,G16,IF(J16&gt;I16,E16,"")))</f>
      </c>
    </row>
    <row r="17" spans="1:13" x14ac:dyDescent="0.25">
      <c r="A17">
        <v>16</v>
      </c>
      <c r="B17" t="s">
        <v>51</v>
      </c>
      <c r="C17">
        <f>TEXT(TIMEVALUE(Einstellungen!$B$4)+(A17-1)*(VALUE(Einstellungen!$B$5)+VALUE(Einstellungen!$B$6))/1440,"hh:mm")</f>
      </c>
      <c r="D17" t="s">
        <v>53</v>
      </c>
      <c r="E17" t="s">
        <v>32</v>
      </c>
      <c r="F17">
        <f>IFERROR(INDEX(Teams!$B$2:$B$11,MATCH(E17,Teams!$A$2:$A$11,0)),"")</f>
      </c>
      <c r="G17" t="s">
        <v>36</v>
      </c>
      <c r="H17">
        <f>IFERROR(INDEX(Teams!$B$2:$B$11,MATCH(G17,Teams!$A$2:$A$11,0)),"")</f>
      </c>
      <c r="I17" s="4"/>
      <c r="J17" s="4"/>
      <c r="K17">
        <f>IF(OR(I17="",J17=""),"",IF(I17&gt;J17,F17,IF(J17&gt;I17,H17,"Unentschieden")))</f>
      </c>
      <c r="L17">
        <f>IF(OR(I17="",J17=""),"",IF(I17&gt;J17,E17,IF(J17&gt;I17,G17,"")))</f>
      </c>
      <c r="M17">
        <f>IF(OR(I17="",J17=""),"",IF(I17&gt;J17,G17,IF(J17&gt;I17,E17,"")))</f>
      </c>
    </row>
    <row r="18" spans="1:13" x14ac:dyDescent="0.25">
      <c r="A18">
        <v>17</v>
      </c>
      <c r="B18" t="s">
        <v>51</v>
      </c>
      <c r="C18">
        <f>TEXT(TIMEVALUE(Einstellungen!$B$4)+(A18-1)*(VALUE(Einstellungen!$B$5)+VALUE(Einstellungen!$B$6))/1440,"hh:mm")</f>
      </c>
      <c r="D18" t="s">
        <v>52</v>
      </c>
      <c r="E18" t="s">
        <v>16</v>
      </c>
      <c r="F18">
        <f>IFERROR(INDEX(Teams!$B$2:$B$11,MATCH(E18,Teams!$A$2:$A$11,0)),"")</f>
      </c>
      <c r="G18" t="s">
        <v>23</v>
      </c>
      <c r="H18">
        <f>IFERROR(INDEX(Teams!$B$2:$B$11,MATCH(G18,Teams!$A$2:$A$11,0)),"")</f>
      </c>
      <c r="I18" s="4"/>
      <c r="J18" s="4"/>
      <c r="K18">
        <f>IF(OR(I18="",J18=""),"",IF(I18&gt;J18,F18,IF(J18&gt;I18,H18,"Unentschieden")))</f>
      </c>
      <c r="L18">
        <f>IF(OR(I18="",J18=""),"",IF(I18&gt;J18,E18,IF(J18&gt;I18,G18,"")))</f>
      </c>
      <c r="M18">
        <f>IF(OR(I18="",J18=""),"",IF(I18&gt;J18,G18,IF(J18&gt;I18,E18,"")))</f>
      </c>
    </row>
    <row r="19" spans="1:13" x14ac:dyDescent="0.25">
      <c r="A19">
        <v>18</v>
      </c>
      <c r="B19" t="s">
        <v>51</v>
      </c>
      <c r="C19">
        <f>TEXT(TIMEVALUE(Einstellungen!$B$4)+(A19-1)*(VALUE(Einstellungen!$B$5)+VALUE(Einstellungen!$B$6))/1440,"hh:mm")</f>
      </c>
      <c r="D19" t="s">
        <v>53</v>
      </c>
      <c r="E19" t="s">
        <v>27</v>
      </c>
      <c r="F19">
        <f>IFERROR(INDEX(Teams!$B$2:$B$11,MATCH(E19,Teams!$A$2:$A$11,0)),"")</f>
      </c>
      <c r="G19" t="s">
        <v>34</v>
      </c>
      <c r="H19">
        <f>IFERROR(INDEX(Teams!$B$2:$B$11,MATCH(G19,Teams!$A$2:$A$11,0)),"")</f>
      </c>
      <c r="I19" s="4"/>
      <c r="J19" s="4"/>
      <c r="K19">
        <f>IF(OR(I19="",J19=""),"",IF(I19&gt;J19,F19,IF(J19&gt;I19,H19,"Unentschieden")))</f>
      </c>
      <c r="L19">
        <f>IF(OR(I19="",J19=""),"",IF(I19&gt;J19,E19,IF(J19&gt;I19,G19,"")))</f>
      </c>
      <c r="M19">
        <f>IF(OR(I19="",J19=""),"",IF(I19&gt;J19,G19,IF(J19&gt;I19,E19,"")))</f>
      </c>
    </row>
    <row r="20" spans="1:13" x14ac:dyDescent="0.25">
      <c r="A20">
        <v>19</v>
      </c>
      <c r="B20" t="s">
        <v>51</v>
      </c>
      <c r="C20">
        <f>TEXT(TIMEVALUE(Einstellungen!$B$4)+(A20-1)*(VALUE(Einstellungen!$B$5)+VALUE(Einstellungen!$B$6))/1440,"hh:mm")</f>
      </c>
      <c r="D20" t="s">
        <v>52</v>
      </c>
      <c r="E20" t="s">
        <v>19</v>
      </c>
      <c r="F20">
        <f>IFERROR(INDEX(Teams!$B$2:$B$11,MATCH(E20,Teams!$A$2:$A$11,0)),"")</f>
      </c>
      <c r="G20" t="s">
        <v>25</v>
      </c>
      <c r="H20">
        <f>IFERROR(INDEX(Teams!$B$2:$B$11,MATCH(G20,Teams!$A$2:$A$11,0)),"")</f>
      </c>
      <c r="I20" s="4"/>
      <c r="J20" s="4"/>
      <c r="K20">
        <f>IF(OR(I20="",J20=""),"",IF(I20&gt;J20,F20,IF(J20&gt;I20,H20,"Unentschieden")))</f>
      </c>
      <c r="L20">
        <f>IF(OR(I20="",J20=""),"",IF(I20&gt;J20,E20,IF(J20&gt;I20,G20,"")))</f>
      </c>
      <c r="M20">
        <f>IF(OR(I20="",J20=""),"",IF(I20&gt;J20,G20,IF(J20&gt;I20,E20,"")))</f>
      </c>
    </row>
    <row r="21" spans="1:13" x14ac:dyDescent="0.25">
      <c r="A21">
        <v>20</v>
      </c>
      <c r="B21" t="s">
        <v>51</v>
      </c>
      <c r="C21">
        <f>TEXT(TIMEVALUE(Einstellungen!$B$4)+(A21-1)*(VALUE(Einstellungen!$B$5)+VALUE(Einstellungen!$B$6))/1440,"hh:mm")</f>
      </c>
      <c r="D21" t="s">
        <v>53</v>
      </c>
      <c r="E21" t="s">
        <v>30</v>
      </c>
      <c r="F21">
        <f>IFERROR(INDEX(Teams!$B$2:$B$11,MATCH(E21,Teams!$A$2:$A$11,0)),"")</f>
      </c>
      <c r="G21" t="s">
        <v>36</v>
      </c>
      <c r="H21">
        <f>IFERROR(INDEX(Teams!$B$2:$B$11,MATCH(G21,Teams!$A$2:$A$11,0)),"")</f>
      </c>
      <c r="I21" s="4"/>
      <c r="J21" s="4"/>
      <c r="K21">
        <f>IF(OR(I21="",J21=""),"",IF(I21&gt;J21,F21,IF(J21&gt;I21,H21,"Unentschieden")))</f>
      </c>
      <c r="L21">
        <f>IF(OR(I21="",J21=""),"",IF(I21&gt;J21,E21,IF(J21&gt;I21,G21,"")))</f>
      </c>
      <c r="M21">
        <f>IF(OR(I21="",J21=""),"",IF(I21&gt;J21,G21,IF(J21&gt;I21,E21,"")))</f>
      </c>
    </row>
    <row r="22" spans="1:13" x14ac:dyDescent="0.25">
      <c r="A22">
        <v>21</v>
      </c>
      <c r="B22" t="s">
        <v>54</v>
      </c>
      <c r="C22">
        <f>TEXT(TIMEVALUE(Einstellungen!$B$4)+(A22-1)*(VALUE(Einstellungen!$B$5)+VALUE(Einstellungen!$B$6))/1440,"hh:mm")</f>
      </c>
      <c r="D22" t="s">
        <v>55</v>
      </c>
      <c r="E22">
        <f>'Gruppe A'!$M$6</f>
      </c>
      <c r="F22">
        <f>IF(E22="",'Gruppe A'!$N$6,IFERROR(INDEX(Teams!$B$2:$B$11,MATCH(E22,Teams!$A$2:$A$11,0)),""))</f>
      </c>
      <c r="G22">
        <f>'Gruppe B'!$M$6</f>
      </c>
      <c r="H22">
        <f>IF(G22="",'Gruppe B'!$N$6,IFERROR(INDEX(Teams!$B$2:$B$11,MATCH(G22,Teams!$A$2:$A$11,0)),""))</f>
      </c>
      <c r="I22" s="4"/>
      <c r="J22" s="4"/>
      <c r="K22">
        <f>IF(OR(I22="",J22=""),"",IF(I22&gt;J22,F22,IF(J22&gt;I22,H22,"Unentschieden")))</f>
      </c>
      <c r="L22">
        <f>IF(OR(I22="",J22=""),"",IF(I22&gt;J22,E22,IF(J22&gt;I22,G22,"")))</f>
      </c>
      <c r="M22">
        <f>IF(OR(I22="",J22=""),"",IF(I22&gt;J22,G22,IF(J22&gt;I22,E22,"")))</f>
      </c>
    </row>
    <row r="23" spans="1:13" x14ac:dyDescent="0.25">
      <c r="A23">
        <v>22</v>
      </c>
      <c r="B23" t="s">
        <v>56</v>
      </c>
      <c r="C23">
        <f>TEXT(TIMEVALUE(Einstellungen!$B$4)+(A23-1)*(VALUE(Einstellungen!$B$5)+VALUE(Einstellungen!$B$6))/1440,"hh:mm")</f>
      </c>
      <c r="D23" t="s">
        <v>57</v>
      </c>
      <c r="E23">
        <f>'Gruppe A'!$M$2</f>
      </c>
      <c r="F23">
        <f>IF(E23="",'Gruppe A'!$N$2,IFERROR(INDEX(Teams!$B$2:$B$11,MATCH(E23,Teams!$A$2:$A$11,0)),""))</f>
      </c>
      <c r="G23">
        <f>'Gruppe B'!$M$3</f>
      </c>
      <c r="H23">
        <f>IF(G23="",'Gruppe B'!$N$3,IFERROR(INDEX(Teams!$B$2:$B$11,MATCH(G23,Teams!$A$2:$A$11,0)),""))</f>
      </c>
      <c r="I23" s="4"/>
      <c r="J23" s="4"/>
      <c r="K23">
        <f>IF(OR(I23="",J23=""),"",IF(I23&gt;J23,F23,IF(J23&gt;I23,H23,"Unentschieden")))</f>
      </c>
      <c r="L23">
        <f>IF(OR(I23="",J23=""),"",IF(I23&gt;J23,E23,IF(J23&gt;I23,G23,"")))</f>
      </c>
      <c r="M23">
        <f>IF(OR(I23="",J23=""),"",IF(I23&gt;J23,G23,IF(J23&gt;I23,E23,"")))</f>
      </c>
    </row>
    <row r="24" spans="1:13" x14ac:dyDescent="0.25">
      <c r="A24">
        <v>23</v>
      </c>
      <c r="B24" t="s">
        <v>54</v>
      </c>
      <c r="C24">
        <f>TEXT(TIMEVALUE(Einstellungen!$B$4)+(A24-1)*(VALUE(Einstellungen!$B$5)+VALUE(Einstellungen!$B$6))/1440,"hh:mm")</f>
      </c>
      <c r="D24" t="s">
        <v>58</v>
      </c>
      <c r="E24">
        <f>'Gruppe A'!$M$5</f>
      </c>
      <c r="F24">
        <f>IF(E24="",'Gruppe A'!$N$5,IFERROR(INDEX(Teams!$B$2:$B$11,MATCH(E24,Teams!$A$2:$A$11,0)),""))</f>
      </c>
      <c r="G24">
        <f>'Gruppe B'!$M$5</f>
      </c>
      <c r="H24">
        <f>IF(G24="",'Gruppe B'!$N$5,IFERROR(INDEX(Teams!$B$2:$B$11,MATCH(G24,Teams!$A$2:$A$11,0)),""))</f>
      </c>
      <c r="I24" s="4"/>
      <c r="J24" s="4"/>
      <c r="K24">
        <f>IF(OR(I24="",J24=""),"",IF(I24&gt;J24,F24,IF(J24&gt;I24,H24,"Unentschieden")))</f>
      </c>
      <c r="L24">
        <f>IF(OR(I24="",J24=""),"",IF(I24&gt;J24,E24,IF(J24&gt;I24,G24,"")))</f>
      </c>
      <c r="M24">
        <f>IF(OR(I24="",J24=""),"",IF(I24&gt;J24,G24,IF(J24&gt;I24,E24,"")))</f>
      </c>
    </row>
    <row r="25" spans="1:13" x14ac:dyDescent="0.25">
      <c r="A25">
        <v>24</v>
      </c>
      <c r="B25" t="s">
        <v>56</v>
      </c>
      <c r="C25">
        <f>TEXT(TIMEVALUE(Einstellungen!$B$4)+(A25-1)*(VALUE(Einstellungen!$B$5)+VALUE(Einstellungen!$B$6))/1440,"hh:mm")</f>
      </c>
      <c r="D25" t="s">
        <v>59</v>
      </c>
      <c r="E25">
        <f>'Gruppe A'!$M$3</f>
      </c>
      <c r="F25">
        <f>IF(E25="",'Gruppe A'!$N$3,IFERROR(INDEX(Teams!$B$2:$B$11,MATCH(E25,Teams!$A$2:$A$11,0)),""))</f>
      </c>
      <c r="G25">
        <f>'Gruppe B'!$M$2</f>
      </c>
      <c r="H25">
        <f>IF(G25="",'Gruppe B'!$N$2,IFERROR(INDEX(Teams!$B$2:$B$11,MATCH(G25,Teams!$A$2:$A$11,0)),""))</f>
      </c>
      <c r="I25" s="4"/>
      <c r="J25" s="4"/>
      <c r="K25">
        <f>IF(OR(I25="",J25=""),"",IF(I25&gt;J25,F25,IF(J25&gt;I25,H25,"Unentschieden")))</f>
      </c>
      <c r="L25">
        <f>IF(OR(I25="",J25=""),"",IF(I25&gt;J25,E25,IF(J25&gt;I25,G25,"")))</f>
      </c>
      <c r="M25">
        <f>IF(OR(I25="",J25=""),"",IF(I25&gt;J25,G25,IF(J25&gt;I25,E25,"")))</f>
      </c>
    </row>
    <row r="26" spans="1:13" x14ac:dyDescent="0.25">
      <c r="A26">
        <v>25</v>
      </c>
      <c r="B26" t="s">
        <v>54</v>
      </c>
      <c r="C26">
        <f>TEXT(TIMEVALUE(Einstellungen!$B$4)+(A26-1)*(VALUE(Einstellungen!$B$5)+VALUE(Einstellungen!$B$6))/1440,"hh:mm")</f>
      </c>
      <c r="D26" t="s">
        <v>60</v>
      </c>
      <c r="E26">
        <f>'Gruppe A'!$M$4</f>
      </c>
      <c r="F26">
        <f>IF(E26="",'Gruppe A'!$N$4,IFERROR(INDEX(Teams!$B$2:$B$11,MATCH(E26,Teams!$A$2:$A$11,0)),""))</f>
      </c>
      <c r="G26">
        <f>'Gruppe B'!$M$4</f>
      </c>
      <c r="H26">
        <f>IF(G26="",'Gruppe B'!$N$4,IFERROR(INDEX(Teams!$B$2:$B$11,MATCH(G26,Teams!$A$2:$A$11,0)),""))</f>
      </c>
      <c r="I26" s="4"/>
      <c r="J26" s="4"/>
      <c r="K26">
        <f>IF(OR(I26="",J26=""),"",IF(I26&gt;J26,F26,IF(J26&gt;I26,H26,"Unentschieden")))</f>
      </c>
      <c r="L26">
        <f>IF(OR(I26="",J26=""),"",IF(I26&gt;J26,E26,IF(J26&gt;I26,G26,"")))</f>
      </c>
      <c r="M26">
        <f>IF(OR(I26="",J26=""),"",IF(I26&gt;J26,G26,IF(J26&gt;I26,E26,"")))</f>
      </c>
    </row>
    <row r="27" spans="1:13" x14ac:dyDescent="0.25">
      <c r="A27">
        <v>26</v>
      </c>
      <c r="B27" t="s">
        <v>54</v>
      </c>
      <c r="C27">
        <f>TEXT(TIMEVALUE(Einstellungen!$B$4)+(A27-1)*(VALUE(Einstellungen!$B$5)+VALUE(Einstellungen!$B$6))/1440,"hh:mm")</f>
      </c>
      <c r="D27" t="s">
        <v>61</v>
      </c>
      <c r="E27">
        <f>$M$23</f>
      </c>
      <c r="F27">
        <f>IF(E27="","Verlierer HF1",IFERROR(INDEX(Teams!$B$2:$B$11,MATCH(E27,Teams!$A$2:$A$11,0)),""))</f>
      </c>
      <c r="G27">
        <f>$M$25</f>
      </c>
      <c r="H27">
        <f>IF(G27="","Verlierer HF2",IFERROR(INDEX(Teams!$B$2:$B$11,MATCH(G27,Teams!$A$2:$A$11,0)),""))</f>
      </c>
      <c r="I27" s="4"/>
      <c r="J27" s="4"/>
      <c r="K27">
        <f>IF(OR(I27="",J27=""),"",IF(I27&gt;J27,F27,IF(J27&gt;I27,H27,"Unentschieden")))</f>
      </c>
      <c r="L27">
        <f>IF(OR(I27="",J27=""),"",IF(I27&gt;J27,E27,IF(J27&gt;I27,G27,"")))</f>
      </c>
      <c r="M27">
        <f>IF(OR(I27="",J27=""),"",IF(I27&gt;J27,G27,IF(J27&gt;I27,E27,"")))</f>
      </c>
    </row>
    <row r="28" spans="1:13" x14ac:dyDescent="0.25">
      <c r="A28">
        <v>27</v>
      </c>
      <c r="B28" t="s">
        <v>62</v>
      </c>
      <c r="C28">
        <f>TEXT(TIMEVALUE(Einstellungen!$B$4)+(A28-1)*(VALUE(Einstellungen!$B$5)+VALUE(Einstellungen!$B$6))/1440,"hh:mm")</f>
      </c>
      <c r="D28" t="s">
        <v>62</v>
      </c>
      <c r="E28">
        <f>$L$23</f>
      </c>
      <c r="F28">
        <f>IF(E28="","Sieger HF1",IFERROR(INDEX(Teams!$B$2:$B$11,MATCH(E28,Teams!$A$2:$A$11,0)),""))</f>
      </c>
      <c r="G28">
        <f>$L$25</f>
      </c>
      <c r="H28">
        <f>IF(G28="","Sieger HF2",IFERROR(INDEX(Teams!$B$2:$B$11,MATCH(G28,Teams!$A$2:$A$11,0)),""))</f>
      </c>
      <c r="I28" s="4"/>
      <c r="J28" s="4"/>
      <c r="K28">
        <f>IF(OR(I28="",J28=""),"",IF(I28&gt;J28,F28,IF(J28&gt;I28,H28,"Unentschieden")))</f>
      </c>
      <c r="L28">
        <f>IF(OR(I28="",J28=""),"",IF(I28&gt;J28,E28,IF(J28&gt;I28,G28,"")))</f>
      </c>
      <c r="M28">
        <f>IF(OR(I28="",J28=""),"",IF(I28&gt;J28,G28,IF(J28&gt;I28,E28,"")))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6" customWidth="1"/>
    <col min="3" max="3" width="24" customWidth="1"/>
    <col min="4" max="7" width="5" customWidth="1"/>
    <col min="8" max="8" width="6" customWidth="1"/>
    <col min="9" max="9" width="10" customWidth="1"/>
    <col min="10" max="11" width="6" customWidth="1"/>
    <col min="12" max="12" width="16" customWidth="1"/>
    <col min="14" max="14" width="26" customWidth="1"/>
  </cols>
  <sheetData>
    <row r="1" spans="1:14" s="1" customFormat="1" x14ac:dyDescent="0.25">
      <c r="A1" s="1" t="s">
        <v>63</v>
      </c>
      <c r="B1" s="1" t="s">
        <v>12</v>
      </c>
      <c r="C1" s="1" t="s">
        <v>13</v>
      </c>
      <c r="D1" s="1" t="s">
        <v>64</v>
      </c>
      <c r="E1" s="1" t="s">
        <v>65</v>
      </c>
      <c r="F1" s="1" t="s">
        <v>66</v>
      </c>
      <c r="G1" s="1" t="s">
        <v>67</v>
      </c>
      <c r="H1" s="1" t="s">
        <v>68</v>
      </c>
      <c r="I1" s="1" t="s">
        <v>69</v>
      </c>
      <c r="J1" s="1" t="s">
        <v>70</v>
      </c>
      <c r="K1" s="1" t="s">
        <v>71</v>
      </c>
      <c r="L1" s="1" t="s">
        <v>72</v>
      </c>
      <c r="M1" s="1" t="s">
        <v>73</v>
      </c>
      <c r="N1" s="1" t="s">
        <v>74</v>
      </c>
    </row>
    <row r="2" spans="1:14" x14ac:dyDescent="0.25">
      <c r="A2">
        <v>1</v>
      </c>
      <c r="B2">
        <f>INDEX($A$10:$A$14,MATCH($A2,$AA$10:$AA$14,0))</f>
      </c>
      <c r="C2">
        <f>INDEX($B$10:$B$14,MATCH($A2,$AA$10:$AA$14,0))</f>
      </c>
      <c r="D2">
        <f>INDEX($C$10:$C$14,MATCH($A2,$AA$10:$AA$14,0))</f>
      </c>
      <c r="E2">
        <f>INDEX($D$10:$D$14,MATCH($A2,$AA$10:$AA$14,0))</f>
      </c>
      <c r="F2">
        <f>INDEX($E$10:$E$14,MATCH($A2,$AA$10:$AA$14,0))</f>
      </c>
      <c r="G2">
        <f>INDEX($F$10:$F$14,MATCH($A2,$AA$10:$AA$14,0))</f>
      </c>
      <c r="H2">
        <f>INDEX($G$10:$G$14,MATCH($A2,$AA$10:$AA$14,0))</f>
      </c>
      <c r="I2">
        <f>INDEX($H$10:$H$14,MATCH($A2,$AA$10:$AA$14,0))</f>
      </c>
      <c r="J2">
        <f>INDEX($I$10:$I$14,MATCH($A2,$AA$10:$AA$14,0))</f>
      </c>
      <c r="K2">
        <f>INDEX($J$10:$J$14,MATCH($A2,$AA$10:$AA$14,0))</f>
      </c>
      <c r="L2">
        <f>IF(AND($B$16=1,INDEX($Z$10:$Z$14,MATCH($A2,$AA$10:$AA$14,0))=1),"Los ausstehend","")</f>
      </c>
      <c r="M2">
        <f>IF(AND($B$16=1,L2=""),B2,"")</f>
      </c>
      <c r="N2">
        <f>A2&amp;". Gr. A"&amp;IF(L2&lt;&gt;""," (Los ausstehend)","")</f>
      </c>
    </row>
    <row r="3" spans="1:14" x14ac:dyDescent="0.25">
      <c r="A3">
        <v>2</v>
      </c>
      <c r="B3">
        <f>INDEX($A$10:$A$14,MATCH($A3,$AA$10:$AA$14,0))</f>
      </c>
      <c r="C3">
        <f>INDEX($B$10:$B$14,MATCH($A3,$AA$10:$AA$14,0))</f>
      </c>
      <c r="D3">
        <f>INDEX($C$10:$C$14,MATCH($A3,$AA$10:$AA$14,0))</f>
      </c>
      <c r="E3">
        <f>INDEX($D$10:$D$14,MATCH($A3,$AA$10:$AA$14,0))</f>
      </c>
      <c r="F3">
        <f>INDEX($E$10:$E$14,MATCH($A3,$AA$10:$AA$14,0))</f>
      </c>
      <c r="G3">
        <f>INDEX($F$10:$F$14,MATCH($A3,$AA$10:$AA$14,0))</f>
      </c>
      <c r="H3">
        <f>INDEX($G$10:$G$14,MATCH($A3,$AA$10:$AA$14,0))</f>
      </c>
      <c r="I3">
        <f>INDEX($H$10:$H$14,MATCH($A3,$AA$10:$AA$14,0))</f>
      </c>
      <c r="J3">
        <f>INDEX($I$10:$I$14,MATCH($A3,$AA$10:$AA$14,0))</f>
      </c>
      <c r="K3">
        <f>INDEX($J$10:$J$14,MATCH($A3,$AA$10:$AA$14,0))</f>
      </c>
      <c r="L3">
        <f>IF(AND($B$16=1,INDEX($Z$10:$Z$14,MATCH($A3,$AA$10:$AA$14,0))=1),"Los ausstehend","")</f>
      </c>
      <c r="M3">
        <f>IF(AND($B$16=1,L3=""),B3,"")</f>
      </c>
      <c r="N3">
        <f>A3&amp;". Gr. A"&amp;IF(L3&lt;&gt;""," (Los ausstehend)","")</f>
      </c>
    </row>
    <row r="4" spans="1:14" x14ac:dyDescent="0.25">
      <c r="A4">
        <v>3</v>
      </c>
      <c r="B4">
        <f>INDEX($A$10:$A$14,MATCH($A4,$AA$10:$AA$14,0))</f>
      </c>
      <c r="C4">
        <f>INDEX($B$10:$B$14,MATCH($A4,$AA$10:$AA$14,0))</f>
      </c>
      <c r="D4">
        <f>INDEX($C$10:$C$14,MATCH($A4,$AA$10:$AA$14,0))</f>
      </c>
      <c r="E4">
        <f>INDEX($D$10:$D$14,MATCH($A4,$AA$10:$AA$14,0))</f>
      </c>
      <c r="F4">
        <f>INDEX($E$10:$E$14,MATCH($A4,$AA$10:$AA$14,0))</f>
      </c>
      <c r="G4">
        <f>INDEX($F$10:$F$14,MATCH($A4,$AA$10:$AA$14,0))</f>
      </c>
      <c r="H4">
        <f>INDEX($G$10:$G$14,MATCH($A4,$AA$10:$AA$14,0))</f>
      </c>
      <c r="I4">
        <f>INDEX($H$10:$H$14,MATCH($A4,$AA$10:$AA$14,0))</f>
      </c>
      <c r="J4">
        <f>INDEX($I$10:$I$14,MATCH($A4,$AA$10:$AA$14,0))</f>
      </c>
      <c r="K4">
        <f>INDEX($J$10:$J$14,MATCH($A4,$AA$10:$AA$14,0))</f>
      </c>
      <c r="L4">
        <f>IF(AND($B$16=1,INDEX($Z$10:$Z$14,MATCH($A4,$AA$10:$AA$14,0))=1),"Los ausstehend","")</f>
      </c>
      <c r="M4">
        <f>IF(AND($B$16=1,L4=""),B4,"")</f>
      </c>
      <c r="N4">
        <f>A4&amp;". Gr. A"&amp;IF(L4&lt;&gt;""," (Los ausstehend)","")</f>
      </c>
    </row>
    <row r="5" spans="1:14" x14ac:dyDescent="0.25">
      <c r="A5">
        <v>4</v>
      </c>
      <c r="B5">
        <f>INDEX($A$10:$A$14,MATCH($A5,$AA$10:$AA$14,0))</f>
      </c>
      <c r="C5">
        <f>INDEX($B$10:$B$14,MATCH($A5,$AA$10:$AA$14,0))</f>
      </c>
      <c r="D5">
        <f>INDEX($C$10:$C$14,MATCH($A5,$AA$10:$AA$14,0))</f>
      </c>
      <c r="E5">
        <f>INDEX($D$10:$D$14,MATCH($A5,$AA$10:$AA$14,0))</f>
      </c>
      <c r="F5">
        <f>INDEX($E$10:$E$14,MATCH($A5,$AA$10:$AA$14,0))</f>
      </c>
      <c r="G5">
        <f>INDEX($F$10:$F$14,MATCH($A5,$AA$10:$AA$14,0))</f>
      </c>
      <c r="H5">
        <f>INDEX($G$10:$G$14,MATCH($A5,$AA$10:$AA$14,0))</f>
      </c>
      <c r="I5">
        <f>INDEX($H$10:$H$14,MATCH($A5,$AA$10:$AA$14,0))</f>
      </c>
      <c r="J5">
        <f>INDEX($I$10:$I$14,MATCH($A5,$AA$10:$AA$14,0))</f>
      </c>
      <c r="K5">
        <f>INDEX($J$10:$J$14,MATCH($A5,$AA$10:$AA$14,0))</f>
      </c>
      <c r="L5">
        <f>IF(AND($B$16=1,INDEX($Z$10:$Z$14,MATCH($A5,$AA$10:$AA$14,0))=1),"Los ausstehend","")</f>
      </c>
      <c r="M5">
        <f>IF(AND($B$16=1,L5=""),B5,"")</f>
      </c>
      <c r="N5">
        <f>A5&amp;". Gr. A"&amp;IF(L5&lt;&gt;""," (Los ausstehend)","")</f>
      </c>
    </row>
    <row r="6" spans="1:14" x14ac:dyDescent="0.25">
      <c r="A6">
        <v>5</v>
      </c>
      <c r="B6">
        <f>INDEX($A$10:$A$14,MATCH($A6,$AA$10:$AA$14,0))</f>
      </c>
      <c r="C6">
        <f>INDEX($B$10:$B$14,MATCH($A6,$AA$10:$AA$14,0))</f>
      </c>
      <c r="D6">
        <f>INDEX($C$10:$C$14,MATCH($A6,$AA$10:$AA$14,0))</f>
      </c>
      <c r="E6">
        <f>INDEX($D$10:$D$14,MATCH($A6,$AA$10:$AA$14,0))</f>
      </c>
      <c r="F6">
        <f>INDEX($E$10:$E$14,MATCH($A6,$AA$10:$AA$14,0))</f>
      </c>
      <c r="G6">
        <f>INDEX($F$10:$F$14,MATCH($A6,$AA$10:$AA$14,0))</f>
      </c>
      <c r="H6">
        <f>INDEX($G$10:$G$14,MATCH($A6,$AA$10:$AA$14,0))</f>
      </c>
      <c r="I6">
        <f>INDEX($H$10:$H$14,MATCH($A6,$AA$10:$AA$14,0))</f>
      </c>
      <c r="J6">
        <f>INDEX($I$10:$I$14,MATCH($A6,$AA$10:$AA$14,0))</f>
      </c>
      <c r="K6">
        <f>INDEX($J$10:$J$14,MATCH($A6,$AA$10:$AA$14,0))</f>
      </c>
      <c r="L6">
        <f>IF(AND($B$16=1,INDEX($Z$10:$Z$14,MATCH($A6,$AA$10:$AA$14,0))=1),"Los ausstehend","")</f>
      </c>
      <c r="M6">
        <f>IF(AND($B$16=1,L6=""),B6,"")</f>
      </c>
      <c r="N6">
        <f>A6&amp;". Gr. A"&amp;IF(L6&lt;&gt;""," (Los ausstehend)","")</f>
      </c>
    </row>
    <row r="8" spans="1:1" x14ac:dyDescent="0.25">
      <c r="A8" s="1" t="s">
        <v>75</v>
      </c>
    </row>
    <row r="9" spans="1:27" x14ac:dyDescent="0.25">
      <c r="A9" t="s">
        <v>12</v>
      </c>
      <c r="B9" t="s">
        <v>13</v>
      </c>
      <c r="C9" t="s">
        <v>64</v>
      </c>
      <c r="D9" t="s">
        <v>65</v>
      </c>
      <c r="E9" t="s">
        <v>66</v>
      </c>
      <c r="F9" t="s">
        <v>67</v>
      </c>
      <c r="G9" t="s">
        <v>68</v>
      </c>
      <c r="H9" t="s">
        <v>69</v>
      </c>
      <c r="I9" t="s">
        <v>70</v>
      </c>
      <c r="J9" t="s">
        <v>71</v>
      </c>
      <c r="K9" t="s">
        <v>76</v>
      </c>
      <c r="L9" t="s">
        <v>77</v>
      </c>
      <c r="M9" t="s">
        <v>78</v>
      </c>
      <c r="N9" t="s">
        <v>79</v>
      </c>
      <c r="O9" t="s">
        <v>80</v>
      </c>
      <c r="P9" t="s">
        <v>81</v>
      </c>
      <c r="Q9" t="s">
        <v>82</v>
      </c>
      <c r="R9" t="s">
        <v>83</v>
      </c>
      <c r="S9" t="s">
        <v>84</v>
      </c>
      <c r="T9" t="s">
        <v>85</v>
      </c>
      <c r="U9" t="s">
        <v>86</v>
      </c>
      <c r="V9" t="s">
        <v>87</v>
      </c>
      <c r="W9" t="s">
        <v>15</v>
      </c>
      <c r="X9" t="s">
        <v>88</v>
      </c>
      <c r="Y9" t="s">
        <v>89</v>
      </c>
      <c r="Z9" t="s">
        <v>90</v>
      </c>
      <c r="AA9" t="s">
        <v>91</v>
      </c>
    </row>
    <row r="10" spans="1:27" x14ac:dyDescent="0.25">
      <c r="A10" s="5" t="s">
        <v>16</v>
      </c>
      <c r="B10" s="5">
        <f>IFERROR(INDEX(Teams!$B$2:$B$11,MATCH($A10,Teams!$A$2:$A$11,0)),"")</f>
      </c>
      <c r="C10" s="5">
        <f>SUMPRODUCT(((Spielplan!$E$2:$E$21=$A10)+(Spielplan!$G$2:$G$21=$A10))*(Spielplan!$I$2:$I$21&lt;&gt;"")*(Spielplan!$J$2:$J$21&lt;&gt;""))</f>
      </c>
      <c r="D10" s="5">
        <f>SUMPRODUCT((Spielplan!$E$2:$E$21=$A10)*(Spielplan!$I$2:$I$21&lt;&gt;"")*(Spielplan!$J$2:$J$21&lt;&gt;"")*(Spielplan!$I$2:$I$21&gt;Spielplan!$J$2:$J$21))+SUMPRODUCT((Spielplan!$G$2:$G$21=$A10)*(Spielplan!$I$2:$I$21&lt;&gt;"")*(Spielplan!$J$2:$J$21&lt;&gt;"")*(Spielplan!$J$2:$J$21&gt;Spielplan!$I$2:$I$21))</f>
      </c>
      <c r="E10" s="5">
        <f>SUMPRODUCT(((Spielplan!$E$2:$E$21=$A10)+(Spielplan!$G$2:$G$21=$A10))*(Spielplan!$I$2:$I$21&lt;&gt;"")*(Spielplan!$J$2:$J$21&lt;&gt;"")*(Spielplan!$I$2:$I$21=Spielplan!$J$2:$J$21))</f>
      </c>
      <c r="F10" s="5">
        <f>C10-D10-E10</f>
      </c>
      <c r="G10" s="5">
        <f>SUMPRODUCT((Spielplan!$E$2:$E$21=$A10)*(Spielplan!$I$2:$I$21&lt;&gt;"")*(Spielplan!$J$2:$J$21&lt;&gt;"")*Spielplan!$I$2:$I$21)+SUMPRODUCT((Spielplan!$G$2:$G$21=$A10)*(Spielplan!$I$2:$I$21&lt;&gt;"")*(Spielplan!$J$2:$J$21&lt;&gt;"")*Spielplan!$J$2:$J$21)</f>
      </c>
      <c r="H10" s="5">
        <f>SUMPRODUCT((Spielplan!$E$2:$E$21=$A10)*(Spielplan!$I$2:$I$21&lt;&gt;"")*(Spielplan!$J$2:$J$21&lt;&gt;"")*Spielplan!$J$2:$J$21)+SUMPRODUCT((Spielplan!$G$2:$G$21=$A10)*(Spielplan!$I$2:$I$21&lt;&gt;"")*(Spielplan!$J$2:$J$21&lt;&gt;"")*Spielplan!$I$2:$I$21)</f>
      </c>
      <c r="I10" s="5">
        <f>G10-H10</f>
      </c>
      <c r="J10" s="5">
        <f>3*D10+E10</f>
      </c>
      <c r="K10" s="5">
        <f>(SUMPRODUCT((Spielplan!$E$2:$E$21=$A10)*(Spielplan!$G$2:$G$21=$A$10)*(Spielplan!$I$2:$I$21&lt;&gt;"")*(Spielplan!$J$2:$J$21&lt;&gt;"")*(3*(Spielplan!$I$2:$I$21&gt;Spielplan!$J$2:$J$21)+(Spielplan!$I$2:$I$21=Spielplan!$J$2:$J$21)))+SUMPRODUCT((Spielplan!$G$2:$G$21=$A10)*(Spielplan!$E$2:$E$21=$A$10)*(Spielplan!$I$2:$I$21&lt;&gt;"")*(Spielplan!$J$2:$J$21&lt;&gt;"")*(3*(Spielplan!$J$2:$J$21&gt;Spielplan!$I$2:$I$21)+(Spielplan!$I$2:$I$21=Spielplan!$J$2:$J$21))))*($J$10=$J10)*($I$10=$I10)</f>
      </c>
      <c r="L10" s="5">
        <f>(SUMPRODUCT((Spielplan!$E$2:$E$21=$A10)*(Spielplan!$G$2:$G$21=$A$11)*(Spielplan!$I$2:$I$21&lt;&gt;"")*(Spielplan!$J$2:$J$21&lt;&gt;"")*(3*(Spielplan!$I$2:$I$21&gt;Spielplan!$J$2:$J$21)+(Spielplan!$I$2:$I$21=Spielplan!$J$2:$J$21)))+SUMPRODUCT((Spielplan!$G$2:$G$21=$A10)*(Spielplan!$E$2:$E$21=$A$11)*(Spielplan!$I$2:$I$21&lt;&gt;"")*(Spielplan!$J$2:$J$21&lt;&gt;"")*(3*(Spielplan!$J$2:$J$21&gt;Spielplan!$I$2:$I$21)+(Spielplan!$I$2:$I$21=Spielplan!$J$2:$J$21))))*($J$11=$J10)*($I$11=$I10)</f>
      </c>
      <c r="M10" s="5">
        <f>(SUMPRODUCT((Spielplan!$E$2:$E$21=$A10)*(Spielplan!$G$2:$G$21=$A$12)*(Spielplan!$I$2:$I$21&lt;&gt;"")*(Spielplan!$J$2:$J$21&lt;&gt;"")*(3*(Spielplan!$I$2:$I$21&gt;Spielplan!$J$2:$J$21)+(Spielplan!$I$2:$I$21=Spielplan!$J$2:$J$21)))+SUMPRODUCT((Spielplan!$G$2:$G$21=$A10)*(Spielplan!$E$2:$E$21=$A$12)*(Spielplan!$I$2:$I$21&lt;&gt;"")*(Spielplan!$J$2:$J$21&lt;&gt;"")*(3*(Spielplan!$J$2:$J$21&gt;Spielplan!$I$2:$I$21)+(Spielplan!$I$2:$I$21=Spielplan!$J$2:$J$21))))*($J$12=$J10)*($I$12=$I10)</f>
      </c>
      <c r="N10" s="5">
        <f>(SUMPRODUCT((Spielplan!$E$2:$E$21=$A10)*(Spielplan!$G$2:$G$21=$A$13)*(Spielplan!$I$2:$I$21&lt;&gt;"")*(Spielplan!$J$2:$J$21&lt;&gt;"")*(3*(Spielplan!$I$2:$I$21&gt;Spielplan!$J$2:$J$21)+(Spielplan!$I$2:$I$21=Spielplan!$J$2:$J$21)))+SUMPRODUCT((Spielplan!$G$2:$G$21=$A10)*(Spielplan!$E$2:$E$21=$A$13)*(Spielplan!$I$2:$I$21&lt;&gt;"")*(Spielplan!$J$2:$J$21&lt;&gt;"")*(3*(Spielplan!$J$2:$J$21&gt;Spielplan!$I$2:$I$21)+(Spielplan!$I$2:$I$21=Spielplan!$J$2:$J$21))))*($J$13=$J10)*($I$13=$I10)</f>
      </c>
      <c r="O10" s="5">
        <f>(SUMPRODUCT((Spielplan!$E$2:$E$21=$A10)*(Spielplan!$G$2:$G$21=$A$14)*(Spielplan!$I$2:$I$21&lt;&gt;"")*(Spielplan!$J$2:$J$21&lt;&gt;"")*(3*(Spielplan!$I$2:$I$21&gt;Spielplan!$J$2:$J$21)+(Spielplan!$I$2:$I$21=Spielplan!$J$2:$J$21)))+SUMPRODUCT((Spielplan!$G$2:$G$21=$A10)*(Spielplan!$E$2:$E$21=$A$14)*(Spielplan!$I$2:$I$21&lt;&gt;"")*(Spielplan!$J$2:$J$21&lt;&gt;"")*(3*(Spielplan!$J$2:$J$21&gt;Spielplan!$I$2:$I$21)+(Spielplan!$I$2:$I$21=Spielplan!$J$2:$J$21))))*($J$14=$J10)*($I$14=$I10)</f>
      </c>
      <c r="P10" s="5">
        <f>(SUMPRODUCT((Spielplan!$E$2:$E$21=$A10)*(Spielplan!$G$2:$G$21=$A$10)*(Spielplan!$I$2:$I$21&lt;&gt;"")*(Spielplan!$J$2:$J$21&lt;&gt;"")*(Spielplan!$I$2:$I$21-Spielplan!$J$2:$J$21))+SUMPRODUCT((Spielplan!$G$2:$G$21=$A10)*(Spielplan!$E$2:$E$21=$A$10)*(Spielplan!$I$2:$I$21&lt;&gt;"")*(Spielplan!$J$2:$J$21&lt;&gt;"")*(Spielplan!$J$2:$J$21-Spielplan!$I$2:$I$21)))*($J$10=$J10)*($I$10=$I10)</f>
      </c>
      <c r="Q10" s="5">
        <f>(SUMPRODUCT((Spielplan!$E$2:$E$21=$A10)*(Spielplan!$G$2:$G$21=$A$11)*(Spielplan!$I$2:$I$21&lt;&gt;"")*(Spielplan!$J$2:$J$21&lt;&gt;"")*(Spielplan!$I$2:$I$21-Spielplan!$J$2:$J$21))+SUMPRODUCT((Spielplan!$G$2:$G$21=$A10)*(Spielplan!$E$2:$E$21=$A$11)*(Spielplan!$I$2:$I$21&lt;&gt;"")*(Spielplan!$J$2:$J$21&lt;&gt;"")*(Spielplan!$J$2:$J$21-Spielplan!$I$2:$I$21)))*($J$11=$J10)*($I$11=$I10)</f>
      </c>
      <c r="R10" s="5">
        <f>(SUMPRODUCT((Spielplan!$E$2:$E$21=$A10)*(Spielplan!$G$2:$G$21=$A$12)*(Spielplan!$I$2:$I$21&lt;&gt;"")*(Spielplan!$J$2:$J$21&lt;&gt;"")*(Spielplan!$I$2:$I$21-Spielplan!$J$2:$J$21))+SUMPRODUCT((Spielplan!$G$2:$G$21=$A10)*(Spielplan!$E$2:$E$21=$A$12)*(Spielplan!$I$2:$I$21&lt;&gt;"")*(Spielplan!$J$2:$J$21&lt;&gt;"")*(Spielplan!$J$2:$J$21-Spielplan!$I$2:$I$21)))*($J$12=$J10)*($I$12=$I10)</f>
      </c>
      <c r="S10" s="5">
        <f>(SUMPRODUCT((Spielplan!$E$2:$E$21=$A10)*(Spielplan!$G$2:$G$21=$A$13)*(Spielplan!$I$2:$I$21&lt;&gt;"")*(Spielplan!$J$2:$J$21&lt;&gt;"")*(Spielplan!$I$2:$I$21-Spielplan!$J$2:$J$21))+SUMPRODUCT((Spielplan!$G$2:$G$21=$A10)*(Spielplan!$E$2:$E$21=$A$13)*(Spielplan!$I$2:$I$21&lt;&gt;"")*(Spielplan!$J$2:$J$21&lt;&gt;"")*(Spielplan!$J$2:$J$21-Spielplan!$I$2:$I$21)))*($J$13=$J10)*($I$13=$I10)</f>
      </c>
      <c r="T10" s="5">
        <f>(SUMPRODUCT((Spielplan!$E$2:$E$21=$A10)*(Spielplan!$G$2:$G$21=$A$14)*(Spielplan!$I$2:$I$21&lt;&gt;"")*(Spielplan!$J$2:$J$21&lt;&gt;"")*(Spielplan!$I$2:$I$21-Spielplan!$J$2:$J$21))+SUMPRODUCT((Spielplan!$G$2:$G$21=$A10)*(Spielplan!$E$2:$E$21=$A$14)*(Spielplan!$I$2:$I$21&lt;&gt;"")*(Spielplan!$J$2:$J$21&lt;&gt;"")*(Spielplan!$J$2:$J$21-Spielplan!$I$2:$I$21)))*($J$14=$J10)*($I$14=$I10)</f>
      </c>
      <c r="U10" s="5">
        <f>SUM(K10:O10)</f>
      </c>
      <c r="V10" s="5">
        <f>SUM(P10:T10)</f>
      </c>
      <c r="W10" s="5">
        <f>IF(INDEX(Teams!$D$2:$D$11,MATCH($A10,Teams!$A$2:$A$11,0))="","",INDEX(Teams!$D$2:$D$11,MATCH($A10,Teams!$A$2:$A$11,0)))</f>
      </c>
      <c r="X10" s="5">
        <f>J10*10^11+(I10+500)*10^8+U10*10^6+(V10+500)*10^3+G10</f>
      </c>
      <c r="Y10" s="5">
        <f>1+SUMPRODUCT(--($X$10:$X$14&gt;X10))+SUMPRODUCT(($X$10:$X$14=X10)*($W$10:$W$14&lt;&gt;"")*(W10&lt;&gt;"")*($W$10:$W$14&lt;W10))</f>
      </c>
      <c r="Z10" s="5">
        <f>IF(SUMPRODUCT(($X$10:$X$14=X10)*($A$10:$A$14&lt;&gt;A10)*((($W$10:$W$14="")+(W10="")+($W$10:$W$14=W10))&gt;0))&gt;0,1,0)</f>
      </c>
      <c r="AA10" s="5">
        <f>Y10+SUMPRODUCT(($Y$10:$Y$14=Y10)*($A$10:$A$14&lt;A10))</f>
      </c>
    </row>
    <row r="11" spans="1:27" x14ac:dyDescent="0.25">
      <c r="A11" s="5" t="s">
        <v>19</v>
      </c>
      <c r="B11" s="5">
        <f>IFERROR(INDEX(Teams!$B$2:$B$11,MATCH($A11,Teams!$A$2:$A$11,0)),"")</f>
      </c>
      <c r="C11" s="5">
        <f>SUMPRODUCT(((Spielplan!$E$2:$E$21=$A11)+(Spielplan!$G$2:$G$21=$A11))*(Spielplan!$I$2:$I$21&lt;&gt;"")*(Spielplan!$J$2:$J$21&lt;&gt;""))</f>
      </c>
      <c r="D11" s="5">
        <f>SUMPRODUCT((Spielplan!$E$2:$E$21=$A11)*(Spielplan!$I$2:$I$21&lt;&gt;"")*(Spielplan!$J$2:$J$21&lt;&gt;"")*(Spielplan!$I$2:$I$21&gt;Spielplan!$J$2:$J$21))+SUMPRODUCT((Spielplan!$G$2:$G$21=$A11)*(Spielplan!$I$2:$I$21&lt;&gt;"")*(Spielplan!$J$2:$J$21&lt;&gt;"")*(Spielplan!$J$2:$J$21&gt;Spielplan!$I$2:$I$21))</f>
      </c>
      <c r="E11" s="5">
        <f>SUMPRODUCT(((Spielplan!$E$2:$E$21=$A11)+(Spielplan!$G$2:$G$21=$A11))*(Spielplan!$I$2:$I$21&lt;&gt;"")*(Spielplan!$J$2:$J$21&lt;&gt;"")*(Spielplan!$I$2:$I$21=Spielplan!$J$2:$J$21))</f>
      </c>
      <c r="F11" s="5">
        <f>C11-D11-E11</f>
      </c>
      <c r="G11" s="5">
        <f>SUMPRODUCT((Spielplan!$E$2:$E$21=$A11)*(Spielplan!$I$2:$I$21&lt;&gt;"")*(Spielplan!$J$2:$J$21&lt;&gt;"")*Spielplan!$I$2:$I$21)+SUMPRODUCT((Spielplan!$G$2:$G$21=$A11)*(Spielplan!$I$2:$I$21&lt;&gt;"")*(Spielplan!$J$2:$J$21&lt;&gt;"")*Spielplan!$J$2:$J$21)</f>
      </c>
      <c r="H11" s="5">
        <f>SUMPRODUCT((Spielplan!$E$2:$E$21=$A11)*(Spielplan!$I$2:$I$21&lt;&gt;"")*(Spielplan!$J$2:$J$21&lt;&gt;"")*Spielplan!$J$2:$J$21)+SUMPRODUCT((Spielplan!$G$2:$G$21=$A11)*(Spielplan!$I$2:$I$21&lt;&gt;"")*(Spielplan!$J$2:$J$21&lt;&gt;"")*Spielplan!$I$2:$I$21)</f>
      </c>
      <c r="I11" s="5">
        <f>G11-H11</f>
      </c>
      <c r="J11" s="5">
        <f>3*D11+E11</f>
      </c>
      <c r="K11" s="5">
        <f>(SUMPRODUCT((Spielplan!$E$2:$E$21=$A11)*(Spielplan!$G$2:$G$21=$A$10)*(Spielplan!$I$2:$I$21&lt;&gt;"")*(Spielplan!$J$2:$J$21&lt;&gt;"")*(3*(Spielplan!$I$2:$I$21&gt;Spielplan!$J$2:$J$21)+(Spielplan!$I$2:$I$21=Spielplan!$J$2:$J$21)))+SUMPRODUCT((Spielplan!$G$2:$G$21=$A11)*(Spielplan!$E$2:$E$21=$A$10)*(Spielplan!$I$2:$I$21&lt;&gt;"")*(Spielplan!$J$2:$J$21&lt;&gt;"")*(3*(Spielplan!$J$2:$J$21&gt;Spielplan!$I$2:$I$21)+(Spielplan!$I$2:$I$21=Spielplan!$J$2:$J$21))))*($J$10=$J11)*($I$10=$I11)</f>
      </c>
      <c r="L11" s="5">
        <f>(SUMPRODUCT((Spielplan!$E$2:$E$21=$A11)*(Spielplan!$G$2:$G$21=$A$11)*(Spielplan!$I$2:$I$21&lt;&gt;"")*(Spielplan!$J$2:$J$21&lt;&gt;"")*(3*(Spielplan!$I$2:$I$21&gt;Spielplan!$J$2:$J$21)+(Spielplan!$I$2:$I$21=Spielplan!$J$2:$J$21)))+SUMPRODUCT((Spielplan!$G$2:$G$21=$A11)*(Spielplan!$E$2:$E$21=$A$11)*(Spielplan!$I$2:$I$21&lt;&gt;"")*(Spielplan!$J$2:$J$21&lt;&gt;"")*(3*(Spielplan!$J$2:$J$21&gt;Spielplan!$I$2:$I$21)+(Spielplan!$I$2:$I$21=Spielplan!$J$2:$J$21))))*($J$11=$J11)*($I$11=$I11)</f>
      </c>
      <c r="M11" s="5">
        <f>(SUMPRODUCT((Spielplan!$E$2:$E$21=$A11)*(Spielplan!$G$2:$G$21=$A$12)*(Spielplan!$I$2:$I$21&lt;&gt;"")*(Spielplan!$J$2:$J$21&lt;&gt;"")*(3*(Spielplan!$I$2:$I$21&gt;Spielplan!$J$2:$J$21)+(Spielplan!$I$2:$I$21=Spielplan!$J$2:$J$21)))+SUMPRODUCT((Spielplan!$G$2:$G$21=$A11)*(Spielplan!$E$2:$E$21=$A$12)*(Spielplan!$I$2:$I$21&lt;&gt;"")*(Spielplan!$J$2:$J$21&lt;&gt;"")*(3*(Spielplan!$J$2:$J$21&gt;Spielplan!$I$2:$I$21)+(Spielplan!$I$2:$I$21=Spielplan!$J$2:$J$21))))*($J$12=$J11)*($I$12=$I11)</f>
      </c>
      <c r="N11" s="5">
        <f>(SUMPRODUCT((Spielplan!$E$2:$E$21=$A11)*(Spielplan!$G$2:$G$21=$A$13)*(Spielplan!$I$2:$I$21&lt;&gt;"")*(Spielplan!$J$2:$J$21&lt;&gt;"")*(3*(Spielplan!$I$2:$I$21&gt;Spielplan!$J$2:$J$21)+(Spielplan!$I$2:$I$21=Spielplan!$J$2:$J$21)))+SUMPRODUCT((Spielplan!$G$2:$G$21=$A11)*(Spielplan!$E$2:$E$21=$A$13)*(Spielplan!$I$2:$I$21&lt;&gt;"")*(Spielplan!$J$2:$J$21&lt;&gt;"")*(3*(Spielplan!$J$2:$J$21&gt;Spielplan!$I$2:$I$21)+(Spielplan!$I$2:$I$21=Spielplan!$J$2:$J$21))))*($J$13=$J11)*($I$13=$I11)</f>
      </c>
      <c r="O11" s="5">
        <f>(SUMPRODUCT((Spielplan!$E$2:$E$21=$A11)*(Spielplan!$G$2:$G$21=$A$14)*(Spielplan!$I$2:$I$21&lt;&gt;"")*(Spielplan!$J$2:$J$21&lt;&gt;"")*(3*(Spielplan!$I$2:$I$21&gt;Spielplan!$J$2:$J$21)+(Spielplan!$I$2:$I$21=Spielplan!$J$2:$J$21)))+SUMPRODUCT((Spielplan!$G$2:$G$21=$A11)*(Spielplan!$E$2:$E$21=$A$14)*(Spielplan!$I$2:$I$21&lt;&gt;"")*(Spielplan!$J$2:$J$21&lt;&gt;"")*(3*(Spielplan!$J$2:$J$21&gt;Spielplan!$I$2:$I$21)+(Spielplan!$I$2:$I$21=Spielplan!$J$2:$J$21))))*($J$14=$J11)*($I$14=$I11)</f>
      </c>
      <c r="P11" s="5">
        <f>(SUMPRODUCT((Spielplan!$E$2:$E$21=$A11)*(Spielplan!$G$2:$G$21=$A$10)*(Spielplan!$I$2:$I$21&lt;&gt;"")*(Spielplan!$J$2:$J$21&lt;&gt;"")*(Spielplan!$I$2:$I$21-Spielplan!$J$2:$J$21))+SUMPRODUCT((Spielplan!$G$2:$G$21=$A11)*(Spielplan!$E$2:$E$21=$A$10)*(Spielplan!$I$2:$I$21&lt;&gt;"")*(Spielplan!$J$2:$J$21&lt;&gt;"")*(Spielplan!$J$2:$J$21-Spielplan!$I$2:$I$21)))*($J$10=$J11)*($I$10=$I11)</f>
      </c>
      <c r="Q11" s="5">
        <f>(SUMPRODUCT((Spielplan!$E$2:$E$21=$A11)*(Spielplan!$G$2:$G$21=$A$11)*(Spielplan!$I$2:$I$21&lt;&gt;"")*(Spielplan!$J$2:$J$21&lt;&gt;"")*(Spielplan!$I$2:$I$21-Spielplan!$J$2:$J$21))+SUMPRODUCT((Spielplan!$G$2:$G$21=$A11)*(Spielplan!$E$2:$E$21=$A$11)*(Spielplan!$I$2:$I$21&lt;&gt;"")*(Spielplan!$J$2:$J$21&lt;&gt;"")*(Spielplan!$J$2:$J$21-Spielplan!$I$2:$I$21)))*($J$11=$J11)*($I$11=$I11)</f>
      </c>
      <c r="R11" s="5">
        <f>(SUMPRODUCT((Spielplan!$E$2:$E$21=$A11)*(Spielplan!$G$2:$G$21=$A$12)*(Spielplan!$I$2:$I$21&lt;&gt;"")*(Spielplan!$J$2:$J$21&lt;&gt;"")*(Spielplan!$I$2:$I$21-Spielplan!$J$2:$J$21))+SUMPRODUCT((Spielplan!$G$2:$G$21=$A11)*(Spielplan!$E$2:$E$21=$A$12)*(Spielplan!$I$2:$I$21&lt;&gt;"")*(Spielplan!$J$2:$J$21&lt;&gt;"")*(Spielplan!$J$2:$J$21-Spielplan!$I$2:$I$21)))*($J$12=$J11)*($I$12=$I11)</f>
      </c>
      <c r="S11" s="5">
        <f>(SUMPRODUCT((Spielplan!$E$2:$E$21=$A11)*(Spielplan!$G$2:$G$21=$A$13)*(Spielplan!$I$2:$I$21&lt;&gt;"")*(Spielplan!$J$2:$J$21&lt;&gt;"")*(Spielplan!$I$2:$I$21-Spielplan!$J$2:$J$21))+SUMPRODUCT((Spielplan!$G$2:$G$21=$A11)*(Spielplan!$E$2:$E$21=$A$13)*(Spielplan!$I$2:$I$21&lt;&gt;"")*(Spielplan!$J$2:$J$21&lt;&gt;"")*(Spielplan!$J$2:$J$21-Spielplan!$I$2:$I$21)))*($J$13=$J11)*($I$13=$I11)</f>
      </c>
      <c r="T11" s="5">
        <f>(SUMPRODUCT((Spielplan!$E$2:$E$21=$A11)*(Spielplan!$G$2:$G$21=$A$14)*(Spielplan!$I$2:$I$21&lt;&gt;"")*(Spielplan!$J$2:$J$21&lt;&gt;"")*(Spielplan!$I$2:$I$21-Spielplan!$J$2:$J$21))+SUMPRODUCT((Spielplan!$G$2:$G$21=$A11)*(Spielplan!$E$2:$E$21=$A$14)*(Spielplan!$I$2:$I$21&lt;&gt;"")*(Spielplan!$J$2:$J$21&lt;&gt;"")*(Spielplan!$J$2:$J$21-Spielplan!$I$2:$I$21)))*($J$14=$J11)*($I$14=$I11)</f>
      </c>
      <c r="U11" s="5">
        <f>SUM(K11:O11)</f>
      </c>
      <c r="V11" s="5">
        <f>SUM(P11:T11)</f>
      </c>
      <c r="W11" s="5">
        <f>IF(INDEX(Teams!$D$2:$D$11,MATCH($A11,Teams!$A$2:$A$11,0))="","",INDEX(Teams!$D$2:$D$11,MATCH($A11,Teams!$A$2:$A$11,0)))</f>
      </c>
      <c r="X11" s="5">
        <f>J11*10^11+(I11+500)*10^8+U11*10^6+(V11+500)*10^3+G11</f>
      </c>
      <c r="Y11" s="5">
        <f>1+SUMPRODUCT(--($X$10:$X$14&gt;X11))+SUMPRODUCT(($X$10:$X$14=X11)*($W$10:$W$14&lt;&gt;"")*(W11&lt;&gt;"")*($W$10:$W$14&lt;W11))</f>
      </c>
      <c r="Z11" s="5">
        <f>IF(SUMPRODUCT(($X$10:$X$14=X11)*($A$10:$A$14&lt;&gt;A11)*((($W$10:$W$14="")+(W11="")+($W$10:$W$14=W11))&gt;0))&gt;0,1,0)</f>
      </c>
      <c r="AA11" s="5">
        <f>Y11+SUMPRODUCT(($Y$10:$Y$14=Y11)*($A$10:$A$14&lt;A11))</f>
      </c>
    </row>
    <row r="12" spans="1:27" x14ac:dyDescent="0.25">
      <c r="A12" s="5" t="s">
        <v>21</v>
      </c>
      <c r="B12" s="5">
        <f>IFERROR(INDEX(Teams!$B$2:$B$11,MATCH($A12,Teams!$A$2:$A$11,0)),"")</f>
      </c>
      <c r="C12" s="5">
        <f>SUMPRODUCT(((Spielplan!$E$2:$E$21=$A12)+(Spielplan!$G$2:$G$21=$A12))*(Spielplan!$I$2:$I$21&lt;&gt;"")*(Spielplan!$J$2:$J$21&lt;&gt;""))</f>
      </c>
      <c r="D12" s="5">
        <f>SUMPRODUCT((Spielplan!$E$2:$E$21=$A12)*(Spielplan!$I$2:$I$21&lt;&gt;"")*(Spielplan!$J$2:$J$21&lt;&gt;"")*(Spielplan!$I$2:$I$21&gt;Spielplan!$J$2:$J$21))+SUMPRODUCT((Spielplan!$G$2:$G$21=$A12)*(Spielplan!$I$2:$I$21&lt;&gt;"")*(Spielplan!$J$2:$J$21&lt;&gt;"")*(Spielplan!$J$2:$J$21&gt;Spielplan!$I$2:$I$21))</f>
      </c>
      <c r="E12" s="5">
        <f>SUMPRODUCT(((Spielplan!$E$2:$E$21=$A12)+(Spielplan!$G$2:$G$21=$A12))*(Spielplan!$I$2:$I$21&lt;&gt;"")*(Spielplan!$J$2:$J$21&lt;&gt;"")*(Spielplan!$I$2:$I$21=Spielplan!$J$2:$J$21))</f>
      </c>
      <c r="F12" s="5">
        <f>C12-D12-E12</f>
      </c>
      <c r="G12" s="5">
        <f>SUMPRODUCT((Spielplan!$E$2:$E$21=$A12)*(Spielplan!$I$2:$I$21&lt;&gt;"")*(Spielplan!$J$2:$J$21&lt;&gt;"")*Spielplan!$I$2:$I$21)+SUMPRODUCT((Spielplan!$G$2:$G$21=$A12)*(Spielplan!$I$2:$I$21&lt;&gt;"")*(Spielplan!$J$2:$J$21&lt;&gt;"")*Spielplan!$J$2:$J$21)</f>
      </c>
      <c r="H12" s="5">
        <f>SUMPRODUCT((Spielplan!$E$2:$E$21=$A12)*(Spielplan!$I$2:$I$21&lt;&gt;"")*(Spielplan!$J$2:$J$21&lt;&gt;"")*Spielplan!$J$2:$J$21)+SUMPRODUCT((Spielplan!$G$2:$G$21=$A12)*(Spielplan!$I$2:$I$21&lt;&gt;"")*(Spielplan!$J$2:$J$21&lt;&gt;"")*Spielplan!$I$2:$I$21)</f>
      </c>
      <c r="I12" s="5">
        <f>G12-H12</f>
      </c>
      <c r="J12" s="5">
        <f>3*D12+E12</f>
      </c>
      <c r="K12" s="5">
        <f>(SUMPRODUCT((Spielplan!$E$2:$E$21=$A12)*(Spielplan!$G$2:$G$21=$A$10)*(Spielplan!$I$2:$I$21&lt;&gt;"")*(Spielplan!$J$2:$J$21&lt;&gt;"")*(3*(Spielplan!$I$2:$I$21&gt;Spielplan!$J$2:$J$21)+(Spielplan!$I$2:$I$21=Spielplan!$J$2:$J$21)))+SUMPRODUCT((Spielplan!$G$2:$G$21=$A12)*(Spielplan!$E$2:$E$21=$A$10)*(Spielplan!$I$2:$I$21&lt;&gt;"")*(Spielplan!$J$2:$J$21&lt;&gt;"")*(3*(Spielplan!$J$2:$J$21&gt;Spielplan!$I$2:$I$21)+(Spielplan!$I$2:$I$21=Spielplan!$J$2:$J$21))))*($J$10=$J12)*($I$10=$I12)</f>
      </c>
      <c r="L12" s="5">
        <f>(SUMPRODUCT((Spielplan!$E$2:$E$21=$A12)*(Spielplan!$G$2:$G$21=$A$11)*(Spielplan!$I$2:$I$21&lt;&gt;"")*(Spielplan!$J$2:$J$21&lt;&gt;"")*(3*(Spielplan!$I$2:$I$21&gt;Spielplan!$J$2:$J$21)+(Spielplan!$I$2:$I$21=Spielplan!$J$2:$J$21)))+SUMPRODUCT((Spielplan!$G$2:$G$21=$A12)*(Spielplan!$E$2:$E$21=$A$11)*(Spielplan!$I$2:$I$21&lt;&gt;"")*(Spielplan!$J$2:$J$21&lt;&gt;"")*(3*(Spielplan!$J$2:$J$21&gt;Spielplan!$I$2:$I$21)+(Spielplan!$I$2:$I$21=Spielplan!$J$2:$J$21))))*($J$11=$J12)*($I$11=$I12)</f>
      </c>
      <c r="M12" s="5">
        <f>(SUMPRODUCT((Spielplan!$E$2:$E$21=$A12)*(Spielplan!$G$2:$G$21=$A$12)*(Spielplan!$I$2:$I$21&lt;&gt;"")*(Spielplan!$J$2:$J$21&lt;&gt;"")*(3*(Spielplan!$I$2:$I$21&gt;Spielplan!$J$2:$J$21)+(Spielplan!$I$2:$I$21=Spielplan!$J$2:$J$21)))+SUMPRODUCT((Spielplan!$G$2:$G$21=$A12)*(Spielplan!$E$2:$E$21=$A$12)*(Spielplan!$I$2:$I$21&lt;&gt;"")*(Spielplan!$J$2:$J$21&lt;&gt;"")*(3*(Spielplan!$J$2:$J$21&gt;Spielplan!$I$2:$I$21)+(Spielplan!$I$2:$I$21=Spielplan!$J$2:$J$21))))*($J$12=$J12)*($I$12=$I12)</f>
      </c>
      <c r="N12" s="5">
        <f>(SUMPRODUCT((Spielplan!$E$2:$E$21=$A12)*(Spielplan!$G$2:$G$21=$A$13)*(Spielplan!$I$2:$I$21&lt;&gt;"")*(Spielplan!$J$2:$J$21&lt;&gt;"")*(3*(Spielplan!$I$2:$I$21&gt;Spielplan!$J$2:$J$21)+(Spielplan!$I$2:$I$21=Spielplan!$J$2:$J$21)))+SUMPRODUCT((Spielplan!$G$2:$G$21=$A12)*(Spielplan!$E$2:$E$21=$A$13)*(Spielplan!$I$2:$I$21&lt;&gt;"")*(Spielplan!$J$2:$J$21&lt;&gt;"")*(3*(Spielplan!$J$2:$J$21&gt;Spielplan!$I$2:$I$21)+(Spielplan!$I$2:$I$21=Spielplan!$J$2:$J$21))))*($J$13=$J12)*($I$13=$I12)</f>
      </c>
      <c r="O12" s="5">
        <f>(SUMPRODUCT((Spielplan!$E$2:$E$21=$A12)*(Spielplan!$G$2:$G$21=$A$14)*(Spielplan!$I$2:$I$21&lt;&gt;"")*(Spielplan!$J$2:$J$21&lt;&gt;"")*(3*(Spielplan!$I$2:$I$21&gt;Spielplan!$J$2:$J$21)+(Spielplan!$I$2:$I$21=Spielplan!$J$2:$J$21)))+SUMPRODUCT((Spielplan!$G$2:$G$21=$A12)*(Spielplan!$E$2:$E$21=$A$14)*(Spielplan!$I$2:$I$21&lt;&gt;"")*(Spielplan!$J$2:$J$21&lt;&gt;"")*(3*(Spielplan!$J$2:$J$21&gt;Spielplan!$I$2:$I$21)+(Spielplan!$I$2:$I$21=Spielplan!$J$2:$J$21))))*($J$14=$J12)*($I$14=$I12)</f>
      </c>
      <c r="P12" s="5">
        <f>(SUMPRODUCT((Spielplan!$E$2:$E$21=$A12)*(Spielplan!$G$2:$G$21=$A$10)*(Spielplan!$I$2:$I$21&lt;&gt;"")*(Spielplan!$J$2:$J$21&lt;&gt;"")*(Spielplan!$I$2:$I$21-Spielplan!$J$2:$J$21))+SUMPRODUCT((Spielplan!$G$2:$G$21=$A12)*(Spielplan!$E$2:$E$21=$A$10)*(Spielplan!$I$2:$I$21&lt;&gt;"")*(Spielplan!$J$2:$J$21&lt;&gt;"")*(Spielplan!$J$2:$J$21-Spielplan!$I$2:$I$21)))*($J$10=$J12)*($I$10=$I12)</f>
      </c>
      <c r="Q12" s="5">
        <f>(SUMPRODUCT((Spielplan!$E$2:$E$21=$A12)*(Spielplan!$G$2:$G$21=$A$11)*(Spielplan!$I$2:$I$21&lt;&gt;"")*(Spielplan!$J$2:$J$21&lt;&gt;"")*(Spielplan!$I$2:$I$21-Spielplan!$J$2:$J$21))+SUMPRODUCT((Spielplan!$G$2:$G$21=$A12)*(Spielplan!$E$2:$E$21=$A$11)*(Spielplan!$I$2:$I$21&lt;&gt;"")*(Spielplan!$J$2:$J$21&lt;&gt;"")*(Spielplan!$J$2:$J$21-Spielplan!$I$2:$I$21)))*($J$11=$J12)*($I$11=$I12)</f>
      </c>
      <c r="R12" s="5">
        <f>(SUMPRODUCT((Spielplan!$E$2:$E$21=$A12)*(Spielplan!$G$2:$G$21=$A$12)*(Spielplan!$I$2:$I$21&lt;&gt;"")*(Spielplan!$J$2:$J$21&lt;&gt;"")*(Spielplan!$I$2:$I$21-Spielplan!$J$2:$J$21))+SUMPRODUCT((Spielplan!$G$2:$G$21=$A12)*(Spielplan!$E$2:$E$21=$A$12)*(Spielplan!$I$2:$I$21&lt;&gt;"")*(Spielplan!$J$2:$J$21&lt;&gt;"")*(Spielplan!$J$2:$J$21-Spielplan!$I$2:$I$21)))*($J$12=$J12)*($I$12=$I12)</f>
      </c>
      <c r="S12" s="5">
        <f>(SUMPRODUCT((Spielplan!$E$2:$E$21=$A12)*(Spielplan!$G$2:$G$21=$A$13)*(Spielplan!$I$2:$I$21&lt;&gt;"")*(Spielplan!$J$2:$J$21&lt;&gt;"")*(Spielplan!$I$2:$I$21-Spielplan!$J$2:$J$21))+SUMPRODUCT((Spielplan!$G$2:$G$21=$A12)*(Spielplan!$E$2:$E$21=$A$13)*(Spielplan!$I$2:$I$21&lt;&gt;"")*(Spielplan!$J$2:$J$21&lt;&gt;"")*(Spielplan!$J$2:$J$21-Spielplan!$I$2:$I$21)))*($J$13=$J12)*($I$13=$I12)</f>
      </c>
      <c r="T12" s="5">
        <f>(SUMPRODUCT((Spielplan!$E$2:$E$21=$A12)*(Spielplan!$G$2:$G$21=$A$14)*(Spielplan!$I$2:$I$21&lt;&gt;"")*(Spielplan!$J$2:$J$21&lt;&gt;"")*(Spielplan!$I$2:$I$21-Spielplan!$J$2:$J$21))+SUMPRODUCT((Spielplan!$G$2:$G$21=$A12)*(Spielplan!$E$2:$E$21=$A$14)*(Spielplan!$I$2:$I$21&lt;&gt;"")*(Spielplan!$J$2:$J$21&lt;&gt;"")*(Spielplan!$J$2:$J$21-Spielplan!$I$2:$I$21)))*($J$14=$J12)*($I$14=$I12)</f>
      </c>
      <c r="U12" s="5">
        <f>SUM(K12:O12)</f>
      </c>
      <c r="V12" s="5">
        <f>SUM(P12:T12)</f>
      </c>
      <c r="W12" s="5">
        <f>IF(INDEX(Teams!$D$2:$D$11,MATCH($A12,Teams!$A$2:$A$11,0))="","",INDEX(Teams!$D$2:$D$11,MATCH($A12,Teams!$A$2:$A$11,0)))</f>
      </c>
      <c r="X12" s="5">
        <f>J12*10^11+(I12+500)*10^8+U12*10^6+(V12+500)*10^3+G12</f>
      </c>
      <c r="Y12" s="5">
        <f>1+SUMPRODUCT(--($X$10:$X$14&gt;X12))+SUMPRODUCT(($X$10:$X$14=X12)*($W$10:$W$14&lt;&gt;"")*(W12&lt;&gt;"")*($W$10:$W$14&lt;W12))</f>
      </c>
      <c r="Z12" s="5">
        <f>IF(SUMPRODUCT(($X$10:$X$14=X12)*($A$10:$A$14&lt;&gt;A12)*((($W$10:$W$14="")+(W12="")+($W$10:$W$14=W12))&gt;0))&gt;0,1,0)</f>
      </c>
      <c r="AA12" s="5">
        <f>Y12+SUMPRODUCT(($Y$10:$Y$14=Y12)*($A$10:$A$14&lt;A12))</f>
      </c>
    </row>
    <row r="13" spans="1:27" x14ac:dyDescent="0.25">
      <c r="A13" s="5" t="s">
        <v>23</v>
      </c>
      <c r="B13" s="5">
        <f>IFERROR(INDEX(Teams!$B$2:$B$11,MATCH($A13,Teams!$A$2:$A$11,0)),"")</f>
      </c>
      <c r="C13" s="5">
        <f>SUMPRODUCT(((Spielplan!$E$2:$E$21=$A13)+(Spielplan!$G$2:$G$21=$A13))*(Spielplan!$I$2:$I$21&lt;&gt;"")*(Spielplan!$J$2:$J$21&lt;&gt;""))</f>
      </c>
      <c r="D13" s="5">
        <f>SUMPRODUCT((Spielplan!$E$2:$E$21=$A13)*(Spielplan!$I$2:$I$21&lt;&gt;"")*(Spielplan!$J$2:$J$21&lt;&gt;"")*(Spielplan!$I$2:$I$21&gt;Spielplan!$J$2:$J$21))+SUMPRODUCT((Spielplan!$G$2:$G$21=$A13)*(Spielplan!$I$2:$I$21&lt;&gt;"")*(Spielplan!$J$2:$J$21&lt;&gt;"")*(Spielplan!$J$2:$J$21&gt;Spielplan!$I$2:$I$21))</f>
      </c>
      <c r="E13" s="5">
        <f>SUMPRODUCT(((Spielplan!$E$2:$E$21=$A13)+(Spielplan!$G$2:$G$21=$A13))*(Spielplan!$I$2:$I$21&lt;&gt;"")*(Spielplan!$J$2:$J$21&lt;&gt;"")*(Spielplan!$I$2:$I$21=Spielplan!$J$2:$J$21))</f>
      </c>
      <c r="F13" s="5">
        <f>C13-D13-E13</f>
      </c>
      <c r="G13" s="5">
        <f>SUMPRODUCT((Spielplan!$E$2:$E$21=$A13)*(Spielplan!$I$2:$I$21&lt;&gt;"")*(Spielplan!$J$2:$J$21&lt;&gt;"")*Spielplan!$I$2:$I$21)+SUMPRODUCT((Spielplan!$G$2:$G$21=$A13)*(Spielplan!$I$2:$I$21&lt;&gt;"")*(Spielplan!$J$2:$J$21&lt;&gt;"")*Spielplan!$J$2:$J$21)</f>
      </c>
      <c r="H13" s="5">
        <f>SUMPRODUCT((Spielplan!$E$2:$E$21=$A13)*(Spielplan!$I$2:$I$21&lt;&gt;"")*(Spielplan!$J$2:$J$21&lt;&gt;"")*Spielplan!$J$2:$J$21)+SUMPRODUCT((Spielplan!$G$2:$G$21=$A13)*(Spielplan!$I$2:$I$21&lt;&gt;"")*(Spielplan!$J$2:$J$21&lt;&gt;"")*Spielplan!$I$2:$I$21)</f>
      </c>
      <c r="I13" s="5">
        <f>G13-H13</f>
      </c>
      <c r="J13" s="5">
        <f>3*D13+E13</f>
      </c>
      <c r="K13" s="5">
        <f>(SUMPRODUCT((Spielplan!$E$2:$E$21=$A13)*(Spielplan!$G$2:$G$21=$A$10)*(Spielplan!$I$2:$I$21&lt;&gt;"")*(Spielplan!$J$2:$J$21&lt;&gt;"")*(3*(Spielplan!$I$2:$I$21&gt;Spielplan!$J$2:$J$21)+(Spielplan!$I$2:$I$21=Spielplan!$J$2:$J$21)))+SUMPRODUCT((Spielplan!$G$2:$G$21=$A13)*(Spielplan!$E$2:$E$21=$A$10)*(Spielplan!$I$2:$I$21&lt;&gt;"")*(Spielplan!$J$2:$J$21&lt;&gt;"")*(3*(Spielplan!$J$2:$J$21&gt;Spielplan!$I$2:$I$21)+(Spielplan!$I$2:$I$21=Spielplan!$J$2:$J$21))))*($J$10=$J13)*($I$10=$I13)</f>
      </c>
      <c r="L13" s="5">
        <f>(SUMPRODUCT((Spielplan!$E$2:$E$21=$A13)*(Spielplan!$G$2:$G$21=$A$11)*(Spielplan!$I$2:$I$21&lt;&gt;"")*(Spielplan!$J$2:$J$21&lt;&gt;"")*(3*(Spielplan!$I$2:$I$21&gt;Spielplan!$J$2:$J$21)+(Spielplan!$I$2:$I$21=Spielplan!$J$2:$J$21)))+SUMPRODUCT((Spielplan!$G$2:$G$21=$A13)*(Spielplan!$E$2:$E$21=$A$11)*(Spielplan!$I$2:$I$21&lt;&gt;"")*(Spielplan!$J$2:$J$21&lt;&gt;"")*(3*(Spielplan!$J$2:$J$21&gt;Spielplan!$I$2:$I$21)+(Spielplan!$I$2:$I$21=Spielplan!$J$2:$J$21))))*($J$11=$J13)*($I$11=$I13)</f>
      </c>
      <c r="M13" s="5">
        <f>(SUMPRODUCT((Spielplan!$E$2:$E$21=$A13)*(Spielplan!$G$2:$G$21=$A$12)*(Spielplan!$I$2:$I$21&lt;&gt;"")*(Spielplan!$J$2:$J$21&lt;&gt;"")*(3*(Spielplan!$I$2:$I$21&gt;Spielplan!$J$2:$J$21)+(Spielplan!$I$2:$I$21=Spielplan!$J$2:$J$21)))+SUMPRODUCT((Spielplan!$G$2:$G$21=$A13)*(Spielplan!$E$2:$E$21=$A$12)*(Spielplan!$I$2:$I$21&lt;&gt;"")*(Spielplan!$J$2:$J$21&lt;&gt;"")*(3*(Spielplan!$J$2:$J$21&gt;Spielplan!$I$2:$I$21)+(Spielplan!$I$2:$I$21=Spielplan!$J$2:$J$21))))*($J$12=$J13)*($I$12=$I13)</f>
      </c>
      <c r="N13" s="5">
        <f>(SUMPRODUCT((Spielplan!$E$2:$E$21=$A13)*(Spielplan!$G$2:$G$21=$A$13)*(Spielplan!$I$2:$I$21&lt;&gt;"")*(Spielplan!$J$2:$J$21&lt;&gt;"")*(3*(Spielplan!$I$2:$I$21&gt;Spielplan!$J$2:$J$21)+(Spielplan!$I$2:$I$21=Spielplan!$J$2:$J$21)))+SUMPRODUCT((Spielplan!$G$2:$G$21=$A13)*(Spielplan!$E$2:$E$21=$A$13)*(Spielplan!$I$2:$I$21&lt;&gt;"")*(Spielplan!$J$2:$J$21&lt;&gt;"")*(3*(Spielplan!$J$2:$J$21&gt;Spielplan!$I$2:$I$21)+(Spielplan!$I$2:$I$21=Spielplan!$J$2:$J$21))))*($J$13=$J13)*($I$13=$I13)</f>
      </c>
      <c r="O13" s="5">
        <f>(SUMPRODUCT((Spielplan!$E$2:$E$21=$A13)*(Spielplan!$G$2:$G$21=$A$14)*(Spielplan!$I$2:$I$21&lt;&gt;"")*(Spielplan!$J$2:$J$21&lt;&gt;"")*(3*(Spielplan!$I$2:$I$21&gt;Spielplan!$J$2:$J$21)+(Spielplan!$I$2:$I$21=Spielplan!$J$2:$J$21)))+SUMPRODUCT((Spielplan!$G$2:$G$21=$A13)*(Spielplan!$E$2:$E$21=$A$14)*(Spielplan!$I$2:$I$21&lt;&gt;"")*(Spielplan!$J$2:$J$21&lt;&gt;"")*(3*(Spielplan!$J$2:$J$21&gt;Spielplan!$I$2:$I$21)+(Spielplan!$I$2:$I$21=Spielplan!$J$2:$J$21))))*($J$14=$J13)*($I$14=$I13)</f>
      </c>
      <c r="P13" s="5">
        <f>(SUMPRODUCT((Spielplan!$E$2:$E$21=$A13)*(Spielplan!$G$2:$G$21=$A$10)*(Spielplan!$I$2:$I$21&lt;&gt;"")*(Spielplan!$J$2:$J$21&lt;&gt;"")*(Spielplan!$I$2:$I$21-Spielplan!$J$2:$J$21))+SUMPRODUCT((Spielplan!$G$2:$G$21=$A13)*(Spielplan!$E$2:$E$21=$A$10)*(Spielplan!$I$2:$I$21&lt;&gt;"")*(Spielplan!$J$2:$J$21&lt;&gt;"")*(Spielplan!$J$2:$J$21-Spielplan!$I$2:$I$21)))*($J$10=$J13)*($I$10=$I13)</f>
      </c>
      <c r="Q13" s="5">
        <f>(SUMPRODUCT((Spielplan!$E$2:$E$21=$A13)*(Spielplan!$G$2:$G$21=$A$11)*(Spielplan!$I$2:$I$21&lt;&gt;"")*(Spielplan!$J$2:$J$21&lt;&gt;"")*(Spielplan!$I$2:$I$21-Spielplan!$J$2:$J$21))+SUMPRODUCT((Spielplan!$G$2:$G$21=$A13)*(Spielplan!$E$2:$E$21=$A$11)*(Spielplan!$I$2:$I$21&lt;&gt;"")*(Spielplan!$J$2:$J$21&lt;&gt;"")*(Spielplan!$J$2:$J$21-Spielplan!$I$2:$I$21)))*($J$11=$J13)*($I$11=$I13)</f>
      </c>
      <c r="R13" s="5">
        <f>(SUMPRODUCT((Spielplan!$E$2:$E$21=$A13)*(Spielplan!$G$2:$G$21=$A$12)*(Spielplan!$I$2:$I$21&lt;&gt;"")*(Spielplan!$J$2:$J$21&lt;&gt;"")*(Spielplan!$I$2:$I$21-Spielplan!$J$2:$J$21))+SUMPRODUCT((Spielplan!$G$2:$G$21=$A13)*(Spielplan!$E$2:$E$21=$A$12)*(Spielplan!$I$2:$I$21&lt;&gt;"")*(Spielplan!$J$2:$J$21&lt;&gt;"")*(Spielplan!$J$2:$J$21-Spielplan!$I$2:$I$21)))*($J$12=$J13)*($I$12=$I13)</f>
      </c>
      <c r="S13" s="5">
        <f>(SUMPRODUCT((Spielplan!$E$2:$E$21=$A13)*(Spielplan!$G$2:$G$21=$A$13)*(Spielplan!$I$2:$I$21&lt;&gt;"")*(Spielplan!$J$2:$J$21&lt;&gt;"")*(Spielplan!$I$2:$I$21-Spielplan!$J$2:$J$21))+SUMPRODUCT((Spielplan!$G$2:$G$21=$A13)*(Spielplan!$E$2:$E$21=$A$13)*(Spielplan!$I$2:$I$21&lt;&gt;"")*(Spielplan!$J$2:$J$21&lt;&gt;"")*(Spielplan!$J$2:$J$21-Spielplan!$I$2:$I$21)))*($J$13=$J13)*($I$13=$I13)</f>
      </c>
      <c r="T13" s="5">
        <f>(SUMPRODUCT((Spielplan!$E$2:$E$21=$A13)*(Spielplan!$G$2:$G$21=$A$14)*(Spielplan!$I$2:$I$21&lt;&gt;"")*(Spielplan!$J$2:$J$21&lt;&gt;"")*(Spielplan!$I$2:$I$21-Spielplan!$J$2:$J$21))+SUMPRODUCT((Spielplan!$G$2:$G$21=$A13)*(Spielplan!$E$2:$E$21=$A$14)*(Spielplan!$I$2:$I$21&lt;&gt;"")*(Spielplan!$J$2:$J$21&lt;&gt;"")*(Spielplan!$J$2:$J$21-Spielplan!$I$2:$I$21)))*($J$14=$J13)*($I$14=$I13)</f>
      </c>
      <c r="U13" s="5">
        <f>SUM(K13:O13)</f>
      </c>
      <c r="V13" s="5">
        <f>SUM(P13:T13)</f>
      </c>
      <c r="W13" s="5">
        <f>IF(INDEX(Teams!$D$2:$D$11,MATCH($A13,Teams!$A$2:$A$11,0))="","",INDEX(Teams!$D$2:$D$11,MATCH($A13,Teams!$A$2:$A$11,0)))</f>
      </c>
      <c r="X13" s="5">
        <f>J13*10^11+(I13+500)*10^8+U13*10^6+(V13+500)*10^3+G13</f>
      </c>
      <c r="Y13" s="5">
        <f>1+SUMPRODUCT(--($X$10:$X$14&gt;X13))+SUMPRODUCT(($X$10:$X$14=X13)*($W$10:$W$14&lt;&gt;"")*(W13&lt;&gt;"")*($W$10:$W$14&lt;W13))</f>
      </c>
      <c r="Z13" s="5">
        <f>IF(SUMPRODUCT(($X$10:$X$14=X13)*($A$10:$A$14&lt;&gt;A13)*((($W$10:$W$14="")+(W13="")+($W$10:$W$14=W13))&gt;0))&gt;0,1,0)</f>
      </c>
      <c r="AA13" s="5">
        <f>Y13+SUMPRODUCT(($Y$10:$Y$14=Y13)*($A$10:$A$14&lt;A13))</f>
      </c>
    </row>
    <row r="14" spans="1:27" x14ac:dyDescent="0.25">
      <c r="A14" s="5" t="s">
        <v>25</v>
      </c>
      <c r="B14" s="5">
        <f>IFERROR(INDEX(Teams!$B$2:$B$11,MATCH($A14,Teams!$A$2:$A$11,0)),"")</f>
      </c>
      <c r="C14" s="5">
        <f>SUMPRODUCT(((Spielplan!$E$2:$E$21=$A14)+(Spielplan!$G$2:$G$21=$A14))*(Spielplan!$I$2:$I$21&lt;&gt;"")*(Spielplan!$J$2:$J$21&lt;&gt;""))</f>
      </c>
      <c r="D14" s="5">
        <f>SUMPRODUCT((Spielplan!$E$2:$E$21=$A14)*(Spielplan!$I$2:$I$21&lt;&gt;"")*(Spielplan!$J$2:$J$21&lt;&gt;"")*(Spielplan!$I$2:$I$21&gt;Spielplan!$J$2:$J$21))+SUMPRODUCT((Spielplan!$G$2:$G$21=$A14)*(Spielplan!$I$2:$I$21&lt;&gt;"")*(Spielplan!$J$2:$J$21&lt;&gt;"")*(Spielplan!$J$2:$J$21&gt;Spielplan!$I$2:$I$21))</f>
      </c>
      <c r="E14" s="5">
        <f>SUMPRODUCT(((Spielplan!$E$2:$E$21=$A14)+(Spielplan!$G$2:$G$21=$A14))*(Spielplan!$I$2:$I$21&lt;&gt;"")*(Spielplan!$J$2:$J$21&lt;&gt;"")*(Spielplan!$I$2:$I$21=Spielplan!$J$2:$J$21))</f>
      </c>
      <c r="F14" s="5">
        <f>C14-D14-E14</f>
      </c>
      <c r="G14" s="5">
        <f>SUMPRODUCT((Spielplan!$E$2:$E$21=$A14)*(Spielplan!$I$2:$I$21&lt;&gt;"")*(Spielplan!$J$2:$J$21&lt;&gt;"")*Spielplan!$I$2:$I$21)+SUMPRODUCT((Spielplan!$G$2:$G$21=$A14)*(Spielplan!$I$2:$I$21&lt;&gt;"")*(Spielplan!$J$2:$J$21&lt;&gt;"")*Spielplan!$J$2:$J$21)</f>
      </c>
      <c r="H14" s="5">
        <f>SUMPRODUCT((Spielplan!$E$2:$E$21=$A14)*(Spielplan!$I$2:$I$21&lt;&gt;"")*(Spielplan!$J$2:$J$21&lt;&gt;"")*Spielplan!$J$2:$J$21)+SUMPRODUCT((Spielplan!$G$2:$G$21=$A14)*(Spielplan!$I$2:$I$21&lt;&gt;"")*(Spielplan!$J$2:$J$21&lt;&gt;"")*Spielplan!$I$2:$I$21)</f>
      </c>
      <c r="I14" s="5">
        <f>G14-H14</f>
      </c>
      <c r="J14" s="5">
        <f>3*D14+E14</f>
      </c>
      <c r="K14" s="5">
        <f>(SUMPRODUCT((Spielplan!$E$2:$E$21=$A14)*(Spielplan!$G$2:$G$21=$A$10)*(Spielplan!$I$2:$I$21&lt;&gt;"")*(Spielplan!$J$2:$J$21&lt;&gt;"")*(3*(Spielplan!$I$2:$I$21&gt;Spielplan!$J$2:$J$21)+(Spielplan!$I$2:$I$21=Spielplan!$J$2:$J$21)))+SUMPRODUCT((Spielplan!$G$2:$G$21=$A14)*(Spielplan!$E$2:$E$21=$A$10)*(Spielplan!$I$2:$I$21&lt;&gt;"")*(Spielplan!$J$2:$J$21&lt;&gt;"")*(3*(Spielplan!$J$2:$J$21&gt;Spielplan!$I$2:$I$21)+(Spielplan!$I$2:$I$21=Spielplan!$J$2:$J$21))))*($J$10=$J14)*($I$10=$I14)</f>
      </c>
      <c r="L14" s="5">
        <f>(SUMPRODUCT((Spielplan!$E$2:$E$21=$A14)*(Spielplan!$G$2:$G$21=$A$11)*(Spielplan!$I$2:$I$21&lt;&gt;"")*(Spielplan!$J$2:$J$21&lt;&gt;"")*(3*(Spielplan!$I$2:$I$21&gt;Spielplan!$J$2:$J$21)+(Spielplan!$I$2:$I$21=Spielplan!$J$2:$J$21)))+SUMPRODUCT((Spielplan!$G$2:$G$21=$A14)*(Spielplan!$E$2:$E$21=$A$11)*(Spielplan!$I$2:$I$21&lt;&gt;"")*(Spielplan!$J$2:$J$21&lt;&gt;"")*(3*(Spielplan!$J$2:$J$21&gt;Spielplan!$I$2:$I$21)+(Spielplan!$I$2:$I$21=Spielplan!$J$2:$J$21))))*($J$11=$J14)*($I$11=$I14)</f>
      </c>
      <c r="M14" s="5">
        <f>(SUMPRODUCT((Spielplan!$E$2:$E$21=$A14)*(Spielplan!$G$2:$G$21=$A$12)*(Spielplan!$I$2:$I$21&lt;&gt;"")*(Spielplan!$J$2:$J$21&lt;&gt;"")*(3*(Spielplan!$I$2:$I$21&gt;Spielplan!$J$2:$J$21)+(Spielplan!$I$2:$I$21=Spielplan!$J$2:$J$21)))+SUMPRODUCT((Spielplan!$G$2:$G$21=$A14)*(Spielplan!$E$2:$E$21=$A$12)*(Spielplan!$I$2:$I$21&lt;&gt;"")*(Spielplan!$J$2:$J$21&lt;&gt;"")*(3*(Spielplan!$J$2:$J$21&gt;Spielplan!$I$2:$I$21)+(Spielplan!$I$2:$I$21=Spielplan!$J$2:$J$21))))*($J$12=$J14)*($I$12=$I14)</f>
      </c>
      <c r="N14" s="5">
        <f>(SUMPRODUCT((Spielplan!$E$2:$E$21=$A14)*(Spielplan!$G$2:$G$21=$A$13)*(Spielplan!$I$2:$I$21&lt;&gt;"")*(Spielplan!$J$2:$J$21&lt;&gt;"")*(3*(Spielplan!$I$2:$I$21&gt;Spielplan!$J$2:$J$21)+(Spielplan!$I$2:$I$21=Spielplan!$J$2:$J$21)))+SUMPRODUCT((Spielplan!$G$2:$G$21=$A14)*(Spielplan!$E$2:$E$21=$A$13)*(Spielplan!$I$2:$I$21&lt;&gt;"")*(Spielplan!$J$2:$J$21&lt;&gt;"")*(3*(Spielplan!$J$2:$J$21&gt;Spielplan!$I$2:$I$21)+(Spielplan!$I$2:$I$21=Spielplan!$J$2:$J$21))))*($J$13=$J14)*($I$13=$I14)</f>
      </c>
      <c r="O14" s="5">
        <f>(SUMPRODUCT((Spielplan!$E$2:$E$21=$A14)*(Spielplan!$G$2:$G$21=$A$14)*(Spielplan!$I$2:$I$21&lt;&gt;"")*(Spielplan!$J$2:$J$21&lt;&gt;"")*(3*(Spielplan!$I$2:$I$21&gt;Spielplan!$J$2:$J$21)+(Spielplan!$I$2:$I$21=Spielplan!$J$2:$J$21)))+SUMPRODUCT((Spielplan!$G$2:$G$21=$A14)*(Spielplan!$E$2:$E$21=$A$14)*(Spielplan!$I$2:$I$21&lt;&gt;"")*(Spielplan!$J$2:$J$21&lt;&gt;"")*(3*(Spielplan!$J$2:$J$21&gt;Spielplan!$I$2:$I$21)+(Spielplan!$I$2:$I$21=Spielplan!$J$2:$J$21))))*($J$14=$J14)*($I$14=$I14)</f>
      </c>
      <c r="P14" s="5">
        <f>(SUMPRODUCT((Spielplan!$E$2:$E$21=$A14)*(Spielplan!$G$2:$G$21=$A$10)*(Spielplan!$I$2:$I$21&lt;&gt;"")*(Spielplan!$J$2:$J$21&lt;&gt;"")*(Spielplan!$I$2:$I$21-Spielplan!$J$2:$J$21))+SUMPRODUCT((Spielplan!$G$2:$G$21=$A14)*(Spielplan!$E$2:$E$21=$A$10)*(Spielplan!$I$2:$I$21&lt;&gt;"")*(Spielplan!$J$2:$J$21&lt;&gt;"")*(Spielplan!$J$2:$J$21-Spielplan!$I$2:$I$21)))*($J$10=$J14)*($I$10=$I14)</f>
      </c>
      <c r="Q14" s="5">
        <f>(SUMPRODUCT((Spielplan!$E$2:$E$21=$A14)*(Spielplan!$G$2:$G$21=$A$11)*(Spielplan!$I$2:$I$21&lt;&gt;"")*(Spielplan!$J$2:$J$21&lt;&gt;"")*(Spielplan!$I$2:$I$21-Spielplan!$J$2:$J$21))+SUMPRODUCT((Spielplan!$G$2:$G$21=$A14)*(Spielplan!$E$2:$E$21=$A$11)*(Spielplan!$I$2:$I$21&lt;&gt;"")*(Spielplan!$J$2:$J$21&lt;&gt;"")*(Spielplan!$J$2:$J$21-Spielplan!$I$2:$I$21)))*($J$11=$J14)*($I$11=$I14)</f>
      </c>
      <c r="R14" s="5">
        <f>(SUMPRODUCT((Spielplan!$E$2:$E$21=$A14)*(Spielplan!$G$2:$G$21=$A$12)*(Spielplan!$I$2:$I$21&lt;&gt;"")*(Spielplan!$J$2:$J$21&lt;&gt;"")*(Spielplan!$I$2:$I$21-Spielplan!$J$2:$J$21))+SUMPRODUCT((Spielplan!$G$2:$G$21=$A14)*(Spielplan!$E$2:$E$21=$A$12)*(Spielplan!$I$2:$I$21&lt;&gt;"")*(Spielplan!$J$2:$J$21&lt;&gt;"")*(Spielplan!$J$2:$J$21-Spielplan!$I$2:$I$21)))*($J$12=$J14)*($I$12=$I14)</f>
      </c>
      <c r="S14" s="5">
        <f>(SUMPRODUCT((Spielplan!$E$2:$E$21=$A14)*(Spielplan!$G$2:$G$21=$A$13)*(Spielplan!$I$2:$I$21&lt;&gt;"")*(Spielplan!$J$2:$J$21&lt;&gt;"")*(Spielplan!$I$2:$I$21-Spielplan!$J$2:$J$21))+SUMPRODUCT((Spielplan!$G$2:$G$21=$A14)*(Spielplan!$E$2:$E$21=$A$13)*(Spielplan!$I$2:$I$21&lt;&gt;"")*(Spielplan!$J$2:$J$21&lt;&gt;"")*(Spielplan!$J$2:$J$21-Spielplan!$I$2:$I$21)))*($J$13=$J14)*($I$13=$I14)</f>
      </c>
      <c r="T14" s="5">
        <f>(SUMPRODUCT((Spielplan!$E$2:$E$21=$A14)*(Spielplan!$G$2:$G$21=$A$14)*(Spielplan!$I$2:$I$21&lt;&gt;"")*(Spielplan!$J$2:$J$21&lt;&gt;"")*(Spielplan!$I$2:$I$21-Spielplan!$J$2:$J$21))+SUMPRODUCT((Spielplan!$G$2:$G$21=$A14)*(Spielplan!$E$2:$E$21=$A$14)*(Spielplan!$I$2:$I$21&lt;&gt;"")*(Spielplan!$J$2:$J$21&lt;&gt;"")*(Spielplan!$J$2:$J$21-Spielplan!$I$2:$I$21)))*($J$14=$J14)*($I$14=$I14)</f>
      </c>
      <c r="U14" s="5">
        <f>SUM(K14:O14)</f>
      </c>
      <c r="V14" s="5">
        <f>SUM(P14:T14)</f>
      </c>
      <c r="W14" s="5">
        <f>IF(INDEX(Teams!$D$2:$D$11,MATCH($A14,Teams!$A$2:$A$11,0))="","",INDEX(Teams!$D$2:$D$11,MATCH($A14,Teams!$A$2:$A$11,0)))</f>
      </c>
      <c r="X14" s="5">
        <f>J14*10^11+(I14+500)*10^8+U14*10^6+(V14+500)*10^3+G14</f>
      </c>
      <c r="Y14" s="5">
        <f>1+SUMPRODUCT(--($X$10:$X$14&gt;X14))+SUMPRODUCT(($X$10:$X$14=X14)*($W$10:$W$14&lt;&gt;"")*(W14&lt;&gt;"")*($W$10:$W$14&lt;W14))</f>
      </c>
      <c r="Z14" s="5">
        <f>IF(SUMPRODUCT(($X$10:$X$14=X14)*($A$10:$A$14&lt;&gt;A14)*((($W$10:$W$14="")+(W14="")+($W$10:$W$14=W14))&gt;0))&gt;0,1,0)</f>
      </c>
      <c r="AA14" s="5">
        <f>Y14+SUMPRODUCT(($Y$10:$Y$14=Y14)*($A$10:$A$14&lt;A14))</f>
      </c>
    </row>
    <row r="16" spans="1:2" x14ac:dyDescent="0.25">
      <c r="A16" t="s">
        <v>92</v>
      </c>
      <c r="B16">
        <f>IF(SUMPRODUCT((Spielplan!$D$2:$D$21="Gruppe A")*(Spielplan!$I$2:$I$21&lt;&gt;"")*(Spielplan!$J$2:$J$21&lt;&gt;""))=10,1,0)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6" customWidth="1"/>
    <col min="3" max="3" width="24" customWidth="1"/>
    <col min="4" max="7" width="5" customWidth="1"/>
    <col min="8" max="8" width="6" customWidth="1"/>
    <col min="9" max="9" width="10" customWidth="1"/>
    <col min="10" max="11" width="6" customWidth="1"/>
    <col min="12" max="12" width="16" customWidth="1"/>
    <col min="14" max="14" width="26" customWidth="1"/>
  </cols>
  <sheetData>
    <row r="1" spans="1:14" s="1" customFormat="1" x14ac:dyDescent="0.25">
      <c r="A1" s="1" t="s">
        <v>63</v>
      </c>
      <c r="B1" s="1" t="s">
        <v>12</v>
      </c>
      <c r="C1" s="1" t="s">
        <v>13</v>
      </c>
      <c r="D1" s="1" t="s">
        <v>64</v>
      </c>
      <c r="E1" s="1" t="s">
        <v>65</v>
      </c>
      <c r="F1" s="1" t="s">
        <v>66</v>
      </c>
      <c r="G1" s="1" t="s">
        <v>67</v>
      </c>
      <c r="H1" s="1" t="s">
        <v>68</v>
      </c>
      <c r="I1" s="1" t="s">
        <v>69</v>
      </c>
      <c r="J1" s="1" t="s">
        <v>70</v>
      </c>
      <c r="K1" s="1" t="s">
        <v>71</v>
      </c>
      <c r="L1" s="1" t="s">
        <v>72</v>
      </c>
      <c r="M1" s="1" t="s">
        <v>73</v>
      </c>
      <c r="N1" s="1" t="s">
        <v>74</v>
      </c>
    </row>
    <row r="2" spans="1:14" x14ac:dyDescent="0.25">
      <c r="A2">
        <v>1</v>
      </c>
      <c r="B2">
        <f>INDEX($A$10:$A$14,MATCH($A2,$AA$10:$AA$14,0))</f>
      </c>
      <c r="C2">
        <f>INDEX($B$10:$B$14,MATCH($A2,$AA$10:$AA$14,0))</f>
      </c>
      <c r="D2">
        <f>INDEX($C$10:$C$14,MATCH($A2,$AA$10:$AA$14,0))</f>
      </c>
      <c r="E2">
        <f>INDEX($D$10:$D$14,MATCH($A2,$AA$10:$AA$14,0))</f>
      </c>
      <c r="F2">
        <f>INDEX($E$10:$E$14,MATCH($A2,$AA$10:$AA$14,0))</f>
      </c>
      <c r="G2">
        <f>INDEX($F$10:$F$14,MATCH($A2,$AA$10:$AA$14,0))</f>
      </c>
      <c r="H2">
        <f>INDEX($G$10:$G$14,MATCH($A2,$AA$10:$AA$14,0))</f>
      </c>
      <c r="I2">
        <f>INDEX($H$10:$H$14,MATCH($A2,$AA$10:$AA$14,0))</f>
      </c>
      <c r="J2">
        <f>INDEX($I$10:$I$14,MATCH($A2,$AA$10:$AA$14,0))</f>
      </c>
      <c r="K2">
        <f>INDEX($J$10:$J$14,MATCH($A2,$AA$10:$AA$14,0))</f>
      </c>
      <c r="L2">
        <f>IF(AND($B$16=1,INDEX($Z$10:$Z$14,MATCH($A2,$AA$10:$AA$14,0))=1),"Los ausstehend","")</f>
      </c>
      <c r="M2">
        <f>IF(AND($B$16=1,L2=""),B2,"")</f>
      </c>
      <c r="N2">
        <f>A2&amp;". Gr. B"&amp;IF(L2&lt;&gt;""," (Los ausstehend)","")</f>
      </c>
    </row>
    <row r="3" spans="1:14" x14ac:dyDescent="0.25">
      <c r="A3">
        <v>2</v>
      </c>
      <c r="B3">
        <f>INDEX($A$10:$A$14,MATCH($A3,$AA$10:$AA$14,0))</f>
      </c>
      <c r="C3">
        <f>INDEX($B$10:$B$14,MATCH($A3,$AA$10:$AA$14,0))</f>
      </c>
      <c r="D3">
        <f>INDEX($C$10:$C$14,MATCH($A3,$AA$10:$AA$14,0))</f>
      </c>
      <c r="E3">
        <f>INDEX($D$10:$D$14,MATCH($A3,$AA$10:$AA$14,0))</f>
      </c>
      <c r="F3">
        <f>INDEX($E$10:$E$14,MATCH($A3,$AA$10:$AA$14,0))</f>
      </c>
      <c r="G3">
        <f>INDEX($F$10:$F$14,MATCH($A3,$AA$10:$AA$14,0))</f>
      </c>
      <c r="H3">
        <f>INDEX($G$10:$G$14,MATCH($A3,$AA$10:$AA$14,0))</f>
      </c>
      <c r="I3">
        <f>INDEX($H$10:$H$14,MATCH($A3,$AA$10:$AA$14,0))</f>
      </c>
      <c r="J3">
        <f>INDEX($I$10:$I$14,MATCH($A3,$AA$10:$AA$14,0))</f>
      </c>
      <c r="K3">
        <f>INDEX($J$10:$J$14,MATCH($A3,$AA$10:$AA$14,0))</f>
      </c>
      <c r="L3">
        <f>IF(AND($B$16=1,INDEX($Z$10:$Z$14,MATCH($A3,$AA$10:$AA$14,0))=1),"Los ausstehend","")</f>
      </c>
      <c r="M3">
        <f>IF(AND($B$16=1,L3=""),B3,"")</f>
      </c>
      <c r="N3">
        <f>A3&amp;". Gr. B"&amp;IF(L3&lt;&gt;""," (Los ausstehend)","")</f>
      </c>
    </row>
    <row r="4" spans="1:14" x14ac:dyDescent="0.25">
      <c r="A4">
        <v>3</v>
      </c>
      <c r="B4">
        <f>INDEX($A$10:$A$14,MATCH($A4,$AA$10:$AA$14,0))</f>
      </c>
      <c r="C4">
        <f>INDEX($B$10:$B$14,MATCH($A4,$AA$10:$AA$14,0))</f>
      </c>
      <c r="D4">
        <f>INDEX($C$10:$C$14,MATCH($A4,$AA$10:$AA$14,0))</f>
      </c>
      <c r="E4">
        <f>INDEX($D$10:$D$14,MATCH($A4,$AA$10:$AA$14,0))</f>
      </c>
      <c r="F4">
        <f>INDEX($E$10:$E$14,MATCH($A4,$AA$10:$AA$14,0))</f>
      </c>
      <c r="G4">
        <f>INDEX($F$10:$F$14,MATCH($A4,$AA$10:$AA$14,0))</f>
      </c>
      <c r="H4">
        <f>INDEX($G$10:$G$14,MATCH($A4,$AA$10:$AA$14,0))</f>
      </c>
      <c r="I4">
        <f>INDEX($H$10:$H$14,MATCH($A4,$AA$10:$AA$14,0))</f>
      </c>
      <c r="J4">
        <f>INDEX($I$10:$I$14,MATCH($A4,$AA$10:$AA$14,0))</f>
      </c>
      <c r="K4">
        <f>INDEX($J$10:$J$14,MATCH($A4,$AA$10:$AA$14,0))</f>
      </c>
      <c r="L4">
        <f>IF(AND($B$16=1,INDEX($Z$10:$Z$14,MATCH($A4,$AA$10:$AA$14,0))=1),"Los ausstehend","")</f>
      </c>
      <c r="M4">
        <f>IF(AND($B$16=1,L4=""),B4,"")</f>
      </c>
      <c r="N4">
        <f>A4&amp;". Gr. B"&amp;IF(L4&lt;&gt;""," (Los ausstehend)","")</f>
      </c>
    </row>
    <row r="5" spans="1:14" x14ac:dyDescent="0.25">
      <c r="A5">
        <v>4</v>
      </c>
      <c r="B5">
        <f>INDEX($A$10:$A$14,MATCH($A5,$AA$10:$AA$14,0))</f>
      </c>
      <c r="C5">
        <f>INDEX($B$10:$B$14,MATCH($A5,$AA$10:$AA$14,0))</f>
      </c>
      <c r="D5">
        <f>INDEX($C$10:$C$14,MATCH($A5,$AA$10:$AA$14,0))</f>
      </c>
      <c r="E5">
        <f>INDEX($D$10:$D$14,MATCH($A5,$AA$10:$AA$14,0))</f>
      </c>
      <c r="F5">
        <f>INDEX($E$10:$E$14,MATCH($A5,$AA$10:$AA$14,0))</f>
      </c>
      <c r="G5">
        <f>INDEX($F$10:$F$14,MATCH($A5,$AA$10:$AA$14,0))</f>
      </c>
      <c r="H5">
        <f>INDEX($G$10:$G$14,MATCH($A5,$AA$10:$AA$14,0))</f>
      </c>
      <c r="I5">
        <f>INDEX($H$10:$H$14,MATCH($A5,$AA$10:$AA$14,0))</f>
      </c>
      <c r="J5">
        <f>INDEX($I$10:$I$14,MATCH($A5,$AA$10:$AA$14,0))</f>
      </c>
      <c r="K5">
        <f>INDEX($J$10:$J$14,MATCH($A5,$AA$10:$AA$14,0))</f>
      </c>
      <c r="L5">
        <f>IF(AND($B$16=1,INDEX($Z$10:$Z$14,MATCH($A5,$AA$10:$AA$14,0))=1),"Los ausstehend","")</f>
      </c>
      <c r="M5">
        <f>IF(AND($B$16=1,L5=""),B5,"")</f>
      </c>
      <c r="N5">
        <f>A5&amp;". Gr. B"&amp;IF(L5&lt;&gt;""," (Los ausstehend)","")</f>
      </c>
    </row>
    <row r="6" spans="1:14" x14ac:dyDescent="0.25">
      <c r="A6">
        <v>5</v>
      </c>
      <c r="B6">
        <f>INDEX($A$10:$A$14,MATCH($A6,$AA$10:$AA$14,0))</f>
      </c>
      <c r="C6">
        <f>INDEX($B$10:$B$14,MATCH($A6,$AA$10:$AA$14,0))</f>
      </c>
      <c r="D6">
        <f>INDEX($C$10:$C$14,MATCH($A6,$AA$10:$AA$14,0))</f>
      </c>
      <c r="E6">
        <f>INDEX($D$10:$D$14,MATCH($A6,$AA$10:$AA$14,0))</f>
      </c>
      <c r="F6">
        <f>INDEX($E$10:$E$14,MATCH($A6,$AA$10:$AA$14,0))</f>
      </c>
      <c r="G6">
        <f>INDEX($F$10:$F$14,MATCH($A6,$AA$10:$AA$14,0))</f>
      </c>
      <c r="H6">
        <f>INDEX($G$10:$G$14,MATCH($A6,$AA$10:$AA$14,0))</f>
      </c>
      <c r="I6">
        <f>INDEX($H$10:$H$14,MATCH($A6,$AA$10:$AA$14,0))</f>
      </c>
      <c r="J6">
        <f>INDEX($I$10:$I$14,MATCH($A6,$AA$10:$AA$14,0))</f>
      </c>
      <c r="K6">
        <f>INDEX($J$10:$J$14,MATCH($A6,$AA$10:$AA$14,0))</f>
      </c>
      <c r="L6">
        <f>IF(AND($B$16=1,INDEX($Z$10:$Z$14,MATCH($A6,$AA$10:$AA$14,0))=1),"Los ausstehend","")</f>
      </c>
      <c r="M6">
        <f>IF(AND($B$16=1,L6=""),B6,"")</f>
      </c>
      <c r="N6">
        <f>A6&amp;". Gr. B"&amp;IF(L6&lt;&gt;""," (Los ausstehend)","")</f>
      </c>
    </row>
    <row r="8" spans="1:1" x14ac:dyDescent="0.25">
      <c r="A8" s="1" t="s">
        <v>75</v>
      </c>
    </row>
    <row r="9" spans="1:27" x14ac:dyDescent="0.25">
      <c r="A9" t="s">
        <v>12</v>
      </c>
      <c r="B9" t="s">
        <v>13</v>
      </c>
      <c r="C9" t="s">
        <v>64</v>
      </c>
      <c r="D9" t="s">
        <v>65</v>
      </c>
      <c r="E9" t="s">
        <v>66</v>
      </c>
      <c r="F9" t="s">
        <v>67</v>
      </c>
      <c r="G9" t="s">
        <v>68</v>
      </c>
      <c r="H9" t="s">
        <v>69</v>
      </c>
      <c r="I9" t="s">
        <v>70</v>
      </c>
      <c r="J9" t="s">
        <v>71</v>
      </c>
      <c r="K9" t="s">
        <v>93</v>
      </c>
      <c r="L9" t="s">
        <v>94</v>
      </c>
      <c r="M9" t="s">
        <v>95</v>
      </c>
      <c r="N9" t="s">
        <v>96</v>
      </c>
      <c r="O9" t="s">
        <v>97</v>
      </c>
      <c r="P9" t="s">
        <v>98</v>
      </c>
      <c r="Q9" t="s">
        <v>99</v>
      </c>
      <c r="R9" t="s">
        <v>100</v>
      </c>
      <c r="S9" t="s">
        <v>101</v>
      </c>
      <c r="T9" t="s">
        <v>102</v>
      </c>
      <c r="U9" t="s">
        <v>86</v>
      </c>
      <c r="V9" t="s">
        <v>87</v>
      </c>
      <c r="W9" t="s">
        <v>15</v>
      </c>
      <c r="X9" t="s">
        <v>88</v>
      </c>
      <c r="Y9" t="s">
        <v>89</v>
      </c>
      <c r="Z9" t="s">
        <v>90</v>
      </c>
      <c r="AA9" t="s">
        <v>91</v>
      </c>
    </row>
    <row r="10" spans="1:27" x14ac:dyDescent="0.25">
      <c r="A10" s="5" t="s">
        <v>27</v>
      </c>
      <c r="B10" s="5">
        <f>IFERROR(INDEX(Teams!$B$2:$B$11,MATCH($A10,Teams!$A$2:$A$11,0)),"")</f>
      </c>
      <c r="C10" s="5">
        <f>SUMPRODUCT(((Spielplan!$E$2:$E$21=$A10)+(Spielplan!$G$2:$G$21=$A10))*(Spielplan!$I$2:$I$21&lt;&gt;"")*(Spielplan!$J$2:$J$21&lt;&gt;""))</f>
      </c>
      <c r="D10" s="5">
        <f>SUMPRODUCT((Spielplan!$E$2:$E$21=$A10)*(Spielplan!$I$2:$I$21&lt;&gt;"")*(Spielplan!$J$2:$J$21&lt;&gt;"")*(Spielplan!$I$2:$I$21&gt;Spielplan!$J$2:$J$21))+SUMPRODUCT((Spielplan!$G$2:$G$21=$A10)*(Spielplan!$I$2:$I$21&lt;&gt;"")*(Spielplan!$J$2:$J$21&lt;&gt;"")*(Spielplan!$J$2:$J$21&gt;Spielplan!$I$2:$I$21))</f>
      </c>
      <c r="E10" s="5">
        <f>SUMPRODUCT(((Spielplan!$E$2:$E$21=$A10)+(Spielplan!$G$2:$G$21=$A10))*(Spielplan!$I$2:$I$21&lt;&gt;"")*(Spielplan!$J$2:$J$21&lt;&gt;"")*(Spielplan!$I$2:$I$21=Spielplan!$J$2:$J$21))</f>
      </c>
      <c r="F10" s="5">
        <f>C10-D10-E10</f>
      </c>
      <c r="G10" s="5">
        <f>SUMPRODUCT((Spielplan!$E$2:$E$21=$A10)*(Spielplan!$I$2:$I$21&lt;&gt;"")*(Spielplan!$J$2:$J$21&lt;&gt;"")*Spielplan!$I$2:$I$21)+SUMPRODUCT((Spielplan!$G$2:$G$21=$A10)*(Spielplan!$I$2:$I$21&lt;&gt;"")*(Spielplan!$J$2:$J$21&lt;&gt;"")*Spielplan!$J$2:$J$21)</f>
      </c>
      <c r="H10" s="5">
        <f>SUMPRODUCT((Spielplan!$E$2:$E$21=$A10)*(Spielplan!$I$2:$I$21&lt;&gt;"")*(Spielplan!$J$2:$J$21&lt;&gt;"")*Spielplan!$J$2:$J$21)+SUMPRODUCT((Spielplan!$G$2:$G$21=$A10)*(Spielplan!$I$2:$I$21&lt;&gt;"")*(Spielplan!$J$2:$J$21&lt;&gt;"")*Spielplan!$I$2:$I$21)</f>
      </c>
      <c r="I10" s="5">
        <f>G10-H10</f>
      </c>
      <c r="J10" s="5">
        <f>3*D10+E10</f>
      </c>
      <c r="K10" s="5">
        <f>(SUMPRODUCT((Spielplan!$E$2:$E$21=$A10)*(Spielplan!$G$2:$G$21=$A$10)*(Spielplan!$I$2:$I$21&lt;&gt;"")*(Spielplan!$J$2:$J$21&lt;&gt;"")*(3*(Spielplan!$I$2:$I$21&gt;Spielplan!$J$2:$J$21)+(Spielplan!$I$2:$I$21=Spielplan!$J$2:$J$21)))+SUMPRODUCT((Spielplan!$G$2:$G$21=$A10)*(Spielplan!$E$2:$E$21=$A$10)*(Spielplan!$I$2:$I$21&lt;&gt;"")*(Spielplan!$J$2:$J$21&lt;&gt;"")*(3*(Spielplan!$J$2:$J$21&gt;Spielplan!$I$2:$I$21)+(Spielplan!$I$2:$I$21=Spielplan!$J$2:$J$21))))*($J$10=$J10)*($I$10=$I10)</f>
      </c>
      <c r="L10" s="5">
        <f>(SUMPRODUCT((Spielplan!$E$2:$E$21=$A10)*(Spielplan!$G$2:$G$21=$A$11)*(Spielplan!$I$2:$I$21&lt;&gt;"")*(Spielplan!$J$2:$J$21&lt;&gt;"")*(3*(Spielplan!$I$2:$I$21&gt;Spielplan!$J$2:$J$21)+(Spielplan!$I$2:$I$21=Spielplan!$J$2:$J$21)))+SUMPRODUCT((Spielplan!$G$2:$G$21=$A10)*(Spielplan!$E$2:$E$21=$A$11)*(Spielplan!$I$2:$I$21&lt;&gt;"")*(Spielplan!$J$2:$J$21&lt;&gt;"")*(3*(Spielplan!$J$2:$J$21&gt;Spielplan!$I$2:$I$21)+(Spielplan!$I$2:$I$21=Spielplan!$J$2:$J$21))))*($J$11=$J10)*($I$11=$I10)</f>
      </c>
      <c r="M10" s="5">
        <f>(SUMPRODUCT((Spielplan!$E$2:$E$21=$A10)*(Spielplan!$G$2:$G$21=$A$12)*(Spielplan!$I$2:$I$21&lt;&gt;"")*(Spielplan!$J$2:$J$21&lt;&gt;"")*(3*(Spielplan!$I$2:$I$21&gt;Spielplan!$J$2:$J$21)+(Spielplan!$I$2:$I$21=Spielplan!$J$2:$J$21)))+SUMPRODUCT((Spielplan!$G$2:$G$21=$A10)*(Spielplan!$E$2:$E$21=$A$12)*(Spielplan!$I$2:$I$21&lt;&gt;"")*(Spielplan!$J$2:$J$21&lt;&gt;"")*(3*(Spielplan!$J$2:$J$21&gt;Spielplan!$I$2:$I$21)+(Spielplan!$I$2:$I$21=Spielplan!$J$2:$J$21))))*($J$12=$J10)*($I$12=$I10)</f>
      </c>
      <c r="N10" s="5">
        <f>(SUMPRODUCT((Spielplan!$E$2:$E$21=$A10)*(Spielplan!$G$2:$G$21=$A$13)*(Spielplan!$I$2:$I$21&lt;&gt;"")*(Spielplan!$J$2:$J$21&lt;&gt;"")*(3*(Spielplan!$I$2:$I$21&gt;Spielplan!$J$2:$J$21)+(Spielplan!$I$2:$I$21=Spielplan!$J$2:$J$21)))+SUMPRODUCT((Spielplan!$G$2:$G$21=$A10)*(Spielplan!$E$2:$E$21=$A$13)*(Spielplan!$I$2:$I$21&lt;&gt;"")*(Spielplan!$J$2:$J$21&lt;&gt;"")*(3*(Spielplan!$J$2:$J$21&gt;Spielplan!$I$2:$I$21)+(Spielplan!$I$2:$I$21=Spielplan!$J$2:$J$21))))*($J$13=$J10)*($I$13=$I10)</f>
      </c>
      <c r="O10" s="5">
        <f>(SUMPRODUCT((Spielplan!$E$2:$E$21=$A10)*(Spielplan!$G$2:$G$21=$A$14)*(Spielplan!$I$2:$I$21&lt;&gt;"")*(Spielplan!$J$2:$J$21&lt;&gt;"")*(3*(Spielplan!$I$2:$I$21&gt;Spielplan!$J$2:$J$21)+(Spielplan!$I$2:$I$21=Spielplan!$J$2:$J$21)))+SUMPRODUCT((Spielplan!$G$2:$G$21=$A10)*(Spielplan!$E$2:$E$21=$A$14)*(Spielplan!$I$2:$I$21&lt;&gt;"")*(Spielplan!$J$2:$J$21&lt;&gt;"")*(3*(Spielplan!$J$2:$J$21&gt;Spielplan!$I$2:$I$21)+(Spielplan!$I$2:$I$21=Spielplan!$J$2:$J$21))))*($J$14=$J10)*($I$14=$I10)</f>
      </c>
      <c r="P10" s="5">
        <f>(SUMPRODUCT((Spielplan!$E$2:$E$21=$A10)*(Spielplan!$G$2:$G$21=$A$10)*(Spielplan!$I$2:$I$21&lt;&gt;"")*(Spielplan!$J$2:$J$21&lt;&gt;"")*(Spielplan!$I$2:$I$21-Spielplan!$J$2:$J$21))+SUMPRODUCT((Spielplan!$G$2:$G$21=$A10)*(Spielplan!$E$2:$E$21=$A$10)*(Spielplan!$I$2:$I$21&lt;&gt;"")*(Spielplan!$J$2:$J$21&lt;&gt;"")*(Spielplan!$J$2:$J$21-Spielplan!$I$2:$I$21)))*($J$10=$J10)*($I$10=$I10)</f>
      </c>
      <c r="Q10" s="5">
        <f>(SUMPRODUCT((Spielplan!$E$2:$E$21=$A10)*(Spielplan!$G$2:$G$21=$A$11)*(Spielplan!$I$2:$I$21&lt;&gt;"")*(Spielplan!$J$2:$J$21&lt;&gt;"")*(Spielplan!$I$2:$I$21-Spielplan!$J$2:$J$21))+SUMPRODUCT((Spielplan!$G$2:$G$21=$A10)*(Spielplan!$E$2:$E$21=$A$11)*(Spielplan!$I$2:$I$21&lt;&gt;"")*(Spielplan!$J$2:$J$21&lt;&gt;"")*(Spielplan!$J$2:$J$21-Spielplan!$I$2:$I$21)))*($J$11=$J10)*($I$11=$I10)</f>
      </c>
      <c r="R10" s="5">
        <f>(SUMPRODUCT((Spielplan!$E$2:$E$21=$A10)*(Spielplan!$G$2:$G$21=$A$12)*(Spielplan!$I$2:$I$21&lt;&gt;"")*(Spielplan!$J$2:$J$21&lt;&gt;"")*(Spielplan!$I$2:$I$21-Spielplan!$J$2:$J$21))+SUMPRODUCT((Spielplan!$G$2:$G$21=$A10)*(Spielplan!$E$2:$E$21=$A$12)*(Spielplan!$I$2:$I$21&lt;&gt;"")*(Spielplan!$J$2:$J$21&lt;&gt;"")*(Spielplan!$J$2:$J$21-Spielplan!$I$2:$I$21)))*($J$12=$J10)*($I$12=$I10)</f>
      </c>
      <c r="S10" s="5">
        <f>(SUMPRODUCT((Spielplan!$E$2:$E$21=$A10)*(Spielplan!$G$2:$G$21=$A$13)*(Spielplan!$I$2:$I$21&lt;&gt;"")*(Spielplan!$J$2:$J$21&lt;&gt;"")*(Spielplan!$I$2:$I$21-Spielplan!$J$2:$J$21))+SUMPRODUCT((Spielplan!$G$2:$G$21=$A10)*(Spielplan!$E$2:$E$21=$A$13)*(Spielplan!$I$2:$I$21&lt;&gt;"")*(Spielplan!$J$2:$J$21&lt;&gt;"")*(Spielplan!$J$2:$J$21-Spielplan!$I$2:$I$21)))*($J$13=$J10)*($I$13=$I10)</f>
      </c>
      <c r="T10" s="5">
        <f>(SUMPRODUCT((Spielplan!$E$2:$E$21=$A10)*(Spielplan!$G$2:$G$21=$A$14)*(Spielplan!$I$2:$I$21&lt;&gt;"")*(Spielplan!$J$2:$J$21&lt;&gt;"")*(Spielplan!$I$2:$I$21-Spielplan!$J$2:$J$21))+SUMPRODUCT((Spielplan!$G$2:$G$21=$A10)*(Spielplan!$E$2:$E$21=$A$14)*(Spielplan!$I$2:$I$21&lt;&gt;"")*(Spielplan!$J$2:$J$21&lt;&gt;"")*(Spielplan!$J$2:$J$21-Spielplan!$I$2:$I$21)))*($J$14=$J10)*($I$14=$I10)</f>
      </c>
      <c r="U10" s="5">
        <f>SUM(K10:O10)</f>
      </c>
      <c r="V10" s="5">
        <f>SUM(P10:T10)</f>
      </c>
      <c r="W10" s="5">
        <f>IF(INDEX(Teams!$D$2:$D$11,MATCH($A10,Teams!$A$2:$A$11,0))="","",INDEX(Teams!$D$2:$D$11,MATCH($A10,Teams!$A$2:$A$11,0)))</f>
      </c>
      <c r="X10" s="5">
        <f>J10*10^11+(I10+500)*10^8+U10*10^6+(V10+500)*10^3+G10</f>
      </c>
      <c r="Y10" s="5">
        <f>1+SUMPRODUCT(--($X$10:$X$14&gt;X10))+SUMPRODUCT(($X$10:$X$14=X10)*($W$10:$W$14&lt;&gt;"")*(W10&lt;&gt;"")*($W$10:$W$14&lt;W10))</f>
      </c>
      <c r="Z10" s="5">
        <f>IF(SUMPRODUCT(($X$10:$X$14=X10)*($A$10:$A$14&lt;&gt;A10)*((($W$10:$W$14="")+(W10="")+($W$10:$W$14=W10))&gt;0))&gt;0,1,0)</f>
      </c>
      <c r="AA10" s="5">
        <f>Y10+SUMPRODUCT(($Y$10:$Y$14=Y10)*($A$10:$A$14&lt;A10))</f>
      </c>
    </row>
    <row r="11" spans="1:27" x14ac:dyDescent="0.25">
      <c r="A11" s="5" t="s">
        <v>30</v>
      </c>
      <c r="B11" s="5">
        <f>IFERROR(INDEX(Teams!$B$2:$B$11,MATCH($A11,Teams!$A$2:$A$11,0)),"")</f>
      </c>
      <c r="C11" s="5">
        <f>SUMPRODUCT(((Spielplan!$E$2:$E$21=$A11)+(Spielplan!$G$2:$G$21=$A11))*(Spielplan!$I$2:$I$21&lt;&gt;"")*(Spielplan!$J$2:$J$21&lt;&gt;""))</f>
      </c>
      <c r="D11" s="5">
        <f>SUMPRODUCT((Spielplan!$E$2:$E$21=$A11)*(Spielplan!$I$2:$I$21&lt;&gt;"")*(Spielplan!$J$2:$J$21&lt;&gt;"")*(Spielplan!$I$2:$I$21&gt;Spielplan!$J$2:$J$21))+SUMPRODUCT((Spielplan!$G$2:$G$21=$A11)*(Spielplan!$I$2:$I$21&lt;&gt;"")*(Spielplan!$J$2:$J$21&lt;&gt;"")*(Spielplan!$J$2:$J$21&gt;Spielplan!$I$2:$I$21))</f>
      </c>
      <c r="E11" s="5">
        <f>SUMPRODUCT(((Spielplan!$E$2:$E$21=$A11)+(Spielplan!$G$2:$G$21=$A11))*(Spielplan!$I$2:$I$21&lt;&gt;"")*(Spielplan!$J$2:$J$21&lt;&gt;"")*(Spielplan!$I$2:$I$21=Spielplan!$J$2:$J$21))</f>
      </c>
      <c r="F11" s="5">
        <f>C11-D11-E11</f>
      </c>
      <c r="G11" s="5">
        <f>SUMPRODUCT((Spielplan!$E$2:$E$21=$A11)*(Spielplan!$I$2:$I$21&lt;&gt;"")*(Spielplan!$J$2:$J$21&lt;&gt;"")*Spielplan!$I$2:$I$21)+SUMPRODUCT((Spielplan!$G$2:$G$21=$A11)*(Spielplan!$I$2:$I$21&lt;&gt;"")*(Spielplan!$J$2:$J$21&lt;&gt;"")*Spielplan!$J$2:$J$21)</f>
      </c>
      <c r="H11" s="5">
        <f>SUMPRODUCT((Spielplan!$E$2:$E$21=$A11)*(Spielplan!$I$2:$I$21&lt;&gt;"")*(Spielplan!$J$2:$J$21&lt;&gt;"")*Spielplan!$J$2:$J$21)+SUMPRODUCT((Spielplan!$G$2:$G$21=$A11)*(Spielplan!$I$2:$I$21&lt;&gt;"")*(Spielplan!$J$2:$J$21&lt;&gt;"")*Spielplan!$I$2:$I$21)</f>
      </c>
      <c r="I11" s="5">
        <f>G11-H11</f>
      </c>
      <c r="J11" s="5">
        <f>3*D11+E11</f>
      </c>
      <c r="K11" s="5">
        <f>(SUMPRODUCT((Spielplan!$E$2:$E$21=$A11)*(Spielplan!$G$2:$G$21=$A$10)*(Spielplan!$I$2:$I$21&lt;&gt;"")*(Spielplan!$J$2:$J$21&lt;&gt;"")*(3*(Spielplan!$I$2:$I$21&gt;Spielplan!$J$2:$J$21)+(Spielplan!$I$2:$I$21=Spielplan!$J$2:$J$21)))+SUMPRODUCT((Spielplan!$G$2:$G$21=$A11)*(Spielplan!$E$2:$E$21=$A$10)*(Spielplan!$I$2:$I$21&lt;&gt;"")*(Spielplan!$J$2:$J$21&lt;&gt;"")*(3*(Spielplan!$J$2:$J$21&gt;Spielplan!$I$2:$I$21)+(Spielplan!$I$2:$I$21=Spielplan!$J$2:$J$21))))*($J$10=$J11)*($I$10=$I11)</f>
      </c>
      <c r="L11" s="5">
        <f>(SUMPRODUCT((Spielplan!$E$2:$E$21=$A11)*(Spielplan!$G$2:$G$21=$A$11)*(Spielplan!$I$2:$I$21&lt;&gt;"")*(Spielplan!$J$2:$J$21&lt;&gt;"")*(3*(Spielplan!$I$2:$I$21&gt;Spielplan!$J$2:$J$21)+(Spielplan!$I$2:$I$21=Spielplan!$J$2:$J$21)))+SUMPRODUCT((Spielplan!$G$2:$G$21=$A11)*(Spielplan!$E$2:$E$21=$A$11)*(Spielplan!$I$2:$I$21&lt;&gt;"")*(Spielplan!$J$2:$J$21&lt;&gt;"")*(3*(Spielplan!$J$2:$J$21&gt;Spielplan!$I$2:$I$21)+(Spielplan!$I$2:$I$21=Spielplan!$J$2:$J$21))))*($J$11=$J11)*($I$11=$I11)</f>
      </c>
      <c r="M11" s="5">
        <f>(SUMPRODUCT((Spielplan!$E$2:$E$21=$A11)*(Spielplan!$G$2:$G$21=$A$12)*(Spielplan!$I$2:$I$21&lt;&gt;"")*(Spielplan!$J$2:$J$21&lt;&gt;"")*(3*(Spielplan!$I$2:$I$21&gt;Spielplan!$J$2:$J$21)+(Spielplan!$I$2:$I$21=Spielplan!$J$2:$J$21)))+SUMPRODUCT((Spielplan!$G$2:$G$21=$A11)*(Spielplan!$E$2:$E$21=$A$12)*(Spielplan!$I$2:$I$21&lt;&gt;"")*(Spielplan!$J$2:$J$21&lt;&gt;"")*(3*(Spielplan!$J$2:$J$21&gt;Spielplan!$I$2:$I$21)+(Spielplan!$I$2:$I$21=Spielplan!$J$2:$J$21))))*($J$12=$J11)*($I$12=$I11)</f>
      </c>
      <c r="N11" s="5">
        <f>(SUMPRODUCT((Spielplan!$E$2:$E$21=$A11)*(Spielplan!$G$2:$G$21=$A$13)*(Spielplan!$I$2:$I$21&lt;&gt;"")*(Spielplan!$J$2:$J$21&lt;&gt;"")*(3*(Spielplan!$I$2:$I$21&gt;Spielplan!$J$2:$J$21)+(Spielplan!$I$2:$I$21=Spielplan!$J$2:$J$21)))+SUMPRODUCT((Spielplan!$G$2:$G$21=$A11)*(Spielplan!$E$2:$E$21=$A$13)*(Spielplan!$I$2:$I$21&lt;&gt;"")*(Spielplan!$J$2:$J$21&lt;&gt;"")*(3*(Spielplan!$J$2:$J$21&gt;Spielplan!$I$2:$I$21)+(Spielplan!$I$2:$I$21=Spielplan!$J$2:$J$21))))*($J$13=$J11)*($I$13=$I11)</f>
      </c>
      <c r="O11" s="5">
        <f>(SUMPRODUCT((Spielplan!$E$2:$E$21=$A11)*(Spielplan!$G$2:$G$21=$A$14)*(Spielplan!$I$2:$I$21&lt;&gt;"")*(Spielplan!$J$2:$J$21&lt;&gt;"")*(3*(Spielplan!$I$2:$I$21&gt;Spielplan!$J$2:$J$21)+(Spielplan!$I$2:$I$21=Spielplan!$J$2:$J$21)))+SUMPRODUCT((Spielplan!$G$2:$G$21=$A11)*(Spielplan!$E$2:$E$21=$A$14)*(Spielplan!$I$2:$I$21&lt;&gt;"")*(Spielplan!$J$2:$J$21&lt;&gt;"")*(3*(Spielplan!$J$2:$J$21&gt;Spielplan!$I$2:$I$21)+(Spielplan!$I$2:$I$21=Spielplan!$J$2:$J$21))))*($J$14=$J11)*($I$14=$I11)</f>
      </c>
      <c r="P11" s="5">
        <f>(SUMPRODUCT((Spielplan!$E$2:$E$21=$A11)*(Spielplan!$G$2:$G$21=$A$10)*(Spielplan!$I$2:$I$21&lt;&gt;"")*(Spielplan!$J$2:$J$21&lt;&gt;"")*(Spielplan!$I$2:$I$21-Spielplan!$J$2:$J$21))+SUMPRODUCT((Spielplan!$G$2:$G$21=$A11)*(Spielplan!$E$2:$E$21=$A$10)*(Spielplan!$I$2:$I$21&lt;&gt;"")*(Spielplan!$J$2:$J$21&lt;&gt;"")*(Spielplan!$J$2:$J$21-Spielplan!$I$2:$I$21)))*($J$10=$J11)*($I$10=$I11)</f>
      </c>
      <c r="Q11" s="5">
        <f>(SUMPRODUCT((Spielplan!$E$2:$E$21=$A11)*(Spielplan!$G$2:$G$21=$A$11)*(Spielplan!$I$2:$I$21&lt;&gt;"")*(Spielplan!$J$2:$J$21&lt;&gt;"")*(Spielplan!$I$2:$I$21-Spielplan!$J$2:$J$21))+SUMPRODUCT((Spielplan!$G$2:$G$21=$A11)*(Spielplan!$E$2:$E$21=$A$11)*(Spielplan!$I$2:$I$21&lt;&gt;"")*(Spielplan!$J$2:$J$21&lt;&gt;"")*(Spielplan!$J$2:$J$21-Spielplan!$I$2:$I$21)))*($J$11=$J11)*($I$11=$I11)</f>
      </c>
      <c r="R11" s="5">
        <f>(SUMPRODUCT((Spielplan!$E$2:$E$21=$A11)*(Spielplan!$G$2:$G$21=$A$12)*(Spielplan!$I$2:$I$21&lt;&gt;"")*(Spielplan!$J$2:$J$21&lt;&gt;"")*(Spielplan!$I$2:$I$21-Spielplan!$J$2:$J$21))+SUMPRODUCT((Spielplan!$G$2:$G$21=$A11)*(Spielplan!$E$2:$E$21=$A$12)*(Spielplan!$I$2:$I$21&lt;&gt;"")*(Spielplan!$J$2:$J$21&lt;&gt;"")*(Spielplan!$J$2:$J$21-Spielplan!$I$2:$I$21)))*($J$12=$J11)*($I$12=$I11)</f>
      </c>
      <c r="S11" s="5">
        <f>(SUMPRODUCT((Spielplan!$E$2:$E$21=$A11)*(Spielplan!$G$2:$G$21=$A$13)*(Spielplan!$I$2:$I$21&lt;&gt;"")*(Spielplan!$J$2:$J$21&lt;&gt;"")*(Spielplan!$I$2:$I$21-Spielplan!$J$2:$J$21))+SUMPRODUCT((Spielplan!$G$2:$G$21=$A11)*(Spielplan!$E$2:$E$21=$A$13)*(Spielplan!$I$2:$I$21&lt;&gt;"")*(Spielplan!$J$2:$J$21&lt;&gt;"")*(Spielplan!$J$2:$J$21-Spielplan!$I$2:$I$21)))*($J$13=$J11)*($I$13=$I11)</f>
      </c>
      <c r="T11" s="5">
        <f>(SUMPRODUCT((Spielplan!$E$2:$E$21=$A11)*(Spielplan!$G$2:$G$21=$A$14)*(Spielplan!$I$2:$I$21&lt;&gt;"")*(Spielplan!$J$2:$J$21&lt;&gt;"")*(Spielplan!$I$2:$I$21-Spielplan!$J$2:$J$21))+SUMPRODUCT((Spielplan!$G$2:$G$21=$A11)*(Spielplan!$E$2:$E$21=$A$14)*(Spielplan!$I$2:$I$21&lt;&gt;"")*(Spielplan!$J$2:$J$21&lt;&gt;"")*(Spielplan!$J$2:$J$21-Spielplan!$I$2:$I$21)))*($J$14=$J11)*($I$14=$I11)</f>
      </c>
      <c r="U11" s="5">
        <f>SUM(K11:O11)</f>
      </c>
      <c r="V11" s="5">
        <f>SUM(P11:T11)</f>
      </c>
      <c r="W11" s="5">
        <f>IF(INDEX(Teams!$D$2:$D$11,MATCH($A11,Teams!$A$2:$A$11,0))="","",INDEX(Teams!$D$2:$D$11,MATCH($A11,Teams!$A$2:$A$11,0)))</f>
      </c>
      <c r="X11" s="5">
        <f>J11*10^11+(I11+500)*10^8+U11*10^6+(V11+500)*10^3+G11</f>
      </c>
      <c r="Y11" s="5">
        <f>1+SUMPRODUCT(--($X$10:$X$14&gt;X11))+SUMPRODUCT(($X$10:$X$14=X11)*($W$10:$W$14&lt;&gt;"")*(W11&lt;&gt;"")*($W$10:$W$14&lt;W11))</f>
      </c>
      <c r="Z11" s="5">
        <f>IF(SUMPRODUCT(($X$10:$X$14=X11)*($A$10:$A$14&lt;&gt;A11)*((($W$10:$W$14="")+(W11="")+($W$10:$W$14=W11))&gt;0))&gt;0,1,0)</f>
      </c>
      <c r="AA11" s="5">
        <f>Y11+SUMPRODUCT(($Y$10:$Y$14=Y11)*($A$10:$A$14&lt;A11))</f>
      </c>
    </row>
    <row r="12" spans="1:27" x14ac:dyDescent="0.25">
      <c r="A12" s="5" t="s">
        <v>32</v>
      </c>
      <c r="B12" s="5">
        <f>IFERROR(INDEX(Teams!$B$2:$B$11,MATCH($A12,Teams!$A$2:$A$11,0)),"")</f>
      </c>
      <c r="C12" s="5">
        <f>SUMPRODUCT(((Spielplan!$E$2:$E$21=$A12)+(Spielplan!$G$2:$G$21=$A12))*(Spielplan!$I$2:$I$21&lt;&gt;"")*(Spielplan!$J$2:$J$21&lt;&gt;""))</f>
      </c>
      <c r="D12" s="5">
        <f>SUMPRODUCT((Spielplan!$E$2:$E$21=$A12)*(Spielplan!$I$2:$I$21&lt;&gt;"")*(Spielplan!$J$2:$J$21&lt;&gt;"")*(Spielplan!$I$2:$I$21&gt;Spielplan!$J$2:$J$21))+SUMPRODUCT((Spielplan!$G$2:$G$21=$A12)*(Spielplan!$I$2:$I$21&lt;&gt;"")*(Spielplan!$J$2:$J$21&lt;&gt;"")*(Spielplan!$J$2:$J$21&gt;Spielplan!$I$2:$I$21))</f>
      </c>
      <c r="E12" s="5">
        <f>SUMPRODUCT(((Spielplan!$E$2:$E$21=$A12)+(Spielplan!$G$2:$G$21=$A12))*(Spielplan!$I$2:$I$21&lt;&gt;"")*(Spielplan!$J$2:$J$21&lt;&gt;"")*(Spielplan!$I$2:$I$21=Spielplan!$J$2:$J$21))</f>
      </c>
      <c r="F12" s="5">
        <f>C12-D12-E12</f>
      </c>
      <c r="G12" s="5">
        <f>SUMPRODUCT((Spielplan!$E$2:$E$21=$A12)*(Spielplan!$I$2:$I$21&lt;&gt;"")*(Spielplan!$J$2:$J$21&lt;&gt;"")*Spielplan!$I$2:$I$21)+SUMPRODUCT((Spielplan!$G$2:$G$21=$A12)*(Spielplan!$I$2:$I$21&lt;&gt;"")*(Spielplan!$J$2:$J$21&lt;&gt;"")*Spielplan!$J$2:$J$21)</f>
      </c>
      <c r="H12" s="5">
        <f>SUMPRODUCT((Spielplan!$E$2:$E$21=$A12)*(Spielplan!$I$2:$I$21&lt;&gt;"")*(Spielplan!$J$2:$J$21&lt;&gt;"")*Spielplan!$J$2:$J$21)+SUMPRODUCT((Spielplan!$G$2:$G$21=$A12)*(Spielplan!$I$2:$I$21&lt;&gt;"")*(Spielplan!$J$2:$J$21&lt;&gt;"")*Spielplan!$I$2:$I$21)</f>
      </c>
      <c r="I12" s="5">
        <f>G12-H12</f>
      </c>
      <c r="J12" s="5">
        <f>3*D12+E12</f>
      </c>
      <c r="K12" s="5">
        <f>(SUMPRODUCT((Spielplan!$E$2:$E$21=$A12)*(Spielplan!$G$2:$G$21=$A$10)*(Spielplan!$I$2:$I$21&lt;&gt;"")*(Spielplan!$J$2:$J$21&lt;&gt;"")*(3*(Spielplan!$I$2:$I$21&gt;Spielplan!$J$2:$J$21)+(Spielplan!$I$2:$I$21=Spielplan!$J$2:$J$21)))+SUMPRODUCT((Spielplan!$G$2:$G$21=$A12)*(Spielplan!$E$2:$E$21=$A$10)*(Spielplan!$I$2:$I$21&lt;&gt;"")*(Spielplan!$J$2:$J$21&lt;&gt;"")*(3*(Spielplan!$J$2:$J$21&gt;Spielplan!$I$2:$I$21)+(Spielplan!$I$2:$I$21=Spielplan!$J$2:$J$21))))*($J$10=$J12)*($I$10=$I12)</f>
      </c>
      <c r="L12" s="5">
        <f>(SUMPRODUCT((Spielplan!$E$2:$E$21=$A12)*(Spielplan!$G$2:$G$21=$A$11)*(Spielplan!$I$2:$I$21&lt;&gt;"")*(Spielplan!$J$2:$J$21&lt;&gt;"")*(3*(Spielplan!$I$2:$I$21&gt;Spielplan!$J$2:$J$21)+(Spielplan!$I$2:$I$21=Spielplan!$J$2:$J$21)))+SUMPRODUCT((Spielplan!$G$2:$G$21=$A12)*(Spielplan!$E$2:$E$21=$A$11)*(Spielplan!$I$2:$I$21&lt;&gt;"")*(Spielplan!$J$2:$J$21&lt;&gt;"")*(3*(Spielplan!$J$2:$J$21&gt;Spielplan!$I$2:$I$21)+(Spielplan!$I$2:$I$21=Spielplan!$J$2:$J$21))))*($J$11=$J12)*($I$11=$I12)</f>
      </c>
      <c r="M12" s="5">
        <f>(SUMPRODUCT((Spielplan!$E$2:$E$21=$A12)*(Spielplan!$G$2:$G$21=$A$12)*(Spielplan!$I$2:$I$21&lt;&gt;"")*(Spielplan!$J$2:$J$21&lt;&gt;"")*(3*(Spielplan!$I$2:$I$21&gt;Spielplan!$J$2:$J$21)+(Spielplan!$I$2:$I$21=Spielplan!$J$2:$J$21)))+SUMPRODUCT((Spielplan!$G$2:$G$21=$A12)*(Spielplan!$E$2:$E$21=$A$12)*(Spielplan!$I$2:$I$21&lt;&gt;"")*(Spielplan!$J$2:$J$21&lt;&gt;"")*(3*(Spielplan!$J$2:$J$21&gt;Spielplan!$I$2:$I$21)+(Spielplan!$I$2:$I$21=Spielplan!$J$2:$J$21))))*($J$12=$J12)*($I$12=$I12)</f>
      </c>
      <c r="N12" s="5">
        <f>(SUMPRODUCT((Spielplan!$E$2:$E$21=$A12)*(Spielplan!$G$2:$G$21=$A$13)*(Spielplan!$I$2:$I$21&lt;&gt;"")*(Spielplan!$J$2:$J$21&lt;&gt;"")*(3*(Spielplan!$I$2:$I$21&gt;Spielplan!$J$2:$J$21)+(Spielplan!$I$2:$I$21=Spielplan!$J$2:$J$21)))+SUMPRODUCT((Spielplan!$G$2:$G$21=$A12)*(Spielplan!$E$2:$E$21=$A$13)*(Spielplan!$I$2:$I$21&lt;&gt;"")*(Spielplan!$J$2:$J$21&lt;&gt;"")*(3*(Spielplan!$J$2:$J$21&gt;Spielplan!$I$2:$I$21)+(Spielplan!$I$2:$I$21=Spielplan!$J$2:$J$21))))*($J$13=$J12)*($I$13=$I12)</f>
      </c>
      <c r="O12" s="5">
        <f>(SUMPRODUCT((Spielplan!$E$2:$E$21=$A12)*(Spielplan!$G$2:$G$21=$A$14)*(Spielplan!$I$2:$I$21&lt;&gt;"")*(Spielplan!$J$2:$J$21&lt;&gt;"")*(3*(Spielplan!$I$2:$I$21&gt;Spielplan!$J$2:$J$21)+(Spielplan!$I$2:$I$21=Spielplan!$J$2:$J$21)))+SUMPRODUCT((Spielplan!$G$2:$G$21=$A12)*(Spielplan!$E$2:$E$21=$A$14)*(Spielplan!$I$2:$I$21&lt;&gt;"")*(Spielplan!$J$2:$J$21&lt;&gt;"")*(3*(Spielplan!$J$2:$J$21&gt;Spielplan!$I$2:$I$21)+(Spielplan!$I$2:$I$21=Spielplan!$J$2:$J$21))))*($J$14=$J12)*($I$14=$I12)</f>
      </c>
      <c r="P12" s="5">
        <f>(SUMPRODUCT((Spielplan!$E$2:$E$21=$A12)*(Spielplan!$G$2:$G$21=$A$10)*(Spielplan!$I$2:$I$21&lt;&gt;"")*(Spielplan!$J$2:$J$21&lt;&gt;"")*(Spielplan!$I$2:$I$21-Spielplan!$J$2:$J$21))+SUMPRODUCT((Spielplan!$G$2:$G$21=$A12)*(Spielplan!$E$2:$E$21=$A$10)*(Spielplan!$I$2:$I$21&lt;&gt;"")*(Spielplan!$J$2:$J$21&lt;&gt;"")*(Spielplan!$J$2:$J$21-Spielplan!$I$2:$I$21)))*($J$10=$J12)*($I$10=$I12)</f>
      </c>
      <c r="Q12" s="5">
        <f>(SUMPRODUCT((Spielplan!$E$2:$E$21=$A12)*(Spielplan!$G$2:$G$21=$A$11)*(Spielplan!$I$2:$I$21&lt;&gt;"")*(Spielplan!$J$2:$J$21&lt;&gt;"")*(Spielplan!$I$2:$I$21-Spielplan!$J$2:$J$21))+SUMPRODUCT((Spielplan!$G$2:$G$21=$A12)*(Spielplan!$E$2:$E$21=$A$11)*(Spielplan!$I$2:$I$21&lt;&gt;"")*(Spielplan!$J$2:$J$21&lt;&gt;"")*(Spielplan!$J$2:$J$21-Spielplan!$I$2:$I$21)))*($J$11=$J12)*($I$11=$I12)</f>
      </c>
      <c r="R12" s="5">
        <f>(SUMPRODUCT((Spielplan!$E$2:$E$21=$A12)*(Spielplan!$G$2:$G$21=$A$12)*(Spielplan!$I$2:$I$21&lt;&gt;"")*(Spielplan!$J$2:$J$21&lt;&gt;"")*(Spielplan!$I$2:$I$21-Spielplan!$J$2:$J$21))+SUMPRODUCT((Spielplan!$G$2:$G$21=$A12)*(Spielplan!$E$2:$E$21=$A$12)*(Spielplan!$I$2:$I$21&lt;&gt;"")*(Spielplan!$J$2:$J$21&lt;&gt;"")*(Spielplan!$J$2:$J$21-Spielplan!$I$2:$I$21)))*($J$12=$J12)*($I$12=$I12)</f>
      </c>
      <c r="S12" s="5">
        <f>(SUMPRODUCT((Spielplan!$E$2:$E$21=$A12)*(Spielplan!$G$2:$G$21=$A$13)*(Spielplan!$I$2:$I$21&lt;&gt;"")*(Spielplan!$J$2:$J$21&lt;&gt;"")*(Spielplan!$I$2:$I$21-Spielplan!$J$2:$J$21))+SUMPRODUCT((Spielplan!$G$2:$G$21=$A12)*(Spielplan!$E$2:$E$21=$A$13)*(Spielplan!$I$2:$I$21&lt;&gt;"")*(Spielplan!$J$2:$J$21&lt;&gt;"")*(Spielplan!$J$2:$J$21-Spielplan!$I$2:$I$21)))*($J$13=$J12)*($I$13=$I12)</f>
      </c>
      <c r="T12" s="5">
        <f>(SUMPRODUCT((Spielplan!$E$2:$E$21=$A12)*(Spielplan!$G$2:$G$21=$A$14)*(Spielplan!$I$2:$I$21&lt;&gt;"")*(Spielplan!$J$2:$J$21&lt;&gt;"")*(Spielplan!$I$2:$I$21-Spielplan!$J$2:$J$21))+SUMPRODUCT((Spielplan!$G$2:$G$21=$A12)*(Spielplan!$E$2:$E$21=$A$14)*(Spielplan!$I$2:$I$21&lt;&gt;"")*(Spielplan!$J$2:$J$21&lt;&gt;"")*(Spielplan!$J$2:$J$21-Spielplan!$I$2:$I$21)))*($J$14=$J12)*($I$14=$I12)</f>
      </c>
      <c r="U12" s="5">
        <f>SUM(K12:O12)</f>
      </c>
      <c r="V12" s="5">
        <f>SUM(P12:T12)</f>
      </c>
      <c r="W12" s="5">
        <f>IF(INDEX(Teams!$D$2:$D$11,MATCH($A12,Teams!$A$2:$A$11,0))="","",INDEX(Teams!$D$2:$D$11,MATCH($A12,Teams!$A$2:$A$11,0)))</f>
      </c>
      <c r="X12" s="5">
        <f>J12*10^11+(I12+500)*10^8+U12*10^6+(V12+500)*10^3+G12</f>
      </c>
      <c r="Y12" s="5">
        <f>1+SUMPRODUCT(--($X$10:$X$14&gt;X12))+SUMPRODUCT(($X$10:$X$14=X12)*($W$10:$W$14&lt;&gt;"")*(W12&lt;&gt;"")*($W$10:$W$14&lt;W12))</f>
      </c>
      <c r="Z12" s="5">
        <f>IF(SUMPRODUCT(($X$10:$X$14=X12)*($A$10:$A$14&lt;&gt;A12)*((($W$10:$W$14="")+(W12="")+($W$10:$W$14=W12))&gt;0))&gt;0,1,0)</f>
      </c>
      <c r="AA12" s="5">
        <f>Y12+SUMPRODUCT(($Y$10:$Y$14=Y12)*($A$10:$A$14&lt;A12))</f>
      </c>
    </row>
    <row r="13" spans="1:27" x14ac:dyDescent="0.25">
      <c r="A13" s="5" t="s">
        <v>34</v>
      </c>
      <c r="B13" s="5">
        <f>IFERROR(INDEX(Teams!$B$2:$B$11,MATCH($A13,Teams!$A$2:$A$11,0)),"")</f>
      </c>
      <c r="C13" s="5">
        <f>SUMPRODUCT(((Spielplan!$E$2:$E$21=$A13)+(Spielplan!$G$2:$G$21=$A13))*(Spielplan!$I$2:$I$21&lt;&gt;"")*(Spielplan!$J$2:$J$21&lt;&gt;""))</f>
      </c>
      <c r="D13" s="5">
        <f>SUMPRODUCT((Spielplan!$E$2:$E$21=$A13)*(Spielplan!$I$2:$I$21&lt;&gt;"")*(Spielplan!$J$2:$J$21&lt;&gt;"")*(Spielplan!$I$2:$I$21&gt;Spielplan!$J$2:$J$21))+SUMPRODUCT((Spielplan!$G$2:$G$21=$A13)*(Spielplan!$I$2:$I$21&lt;&gt;"")*(Spielplan!$J$2:$J$21&lt;&gt;"")*(Spielplan!$J$2:$J$21&gt;Spielplan!$I$2:$I$21))</f>
      </c>
      <c r="E13" s="5">
        <f>SUMPRODUCT(((Spielplan!$E$2:$E$21=$A13)+(Spielplan!$G$2:$G$21=$A13))*(Spielplan!$I$2:$I$21&lt;&gt;"")*(Spielplan!$J$2:$J$21&lt;&gt;"")*(Spielplan!$I$2:$I$21=Spielplan!$J$2:$J$21))</f>
      </c>
      <c r="F13" s="5">
        <f>C13-D13-E13</f>
      </c>
      <c r="G13" s="5">
        <f>SUMPRODUCT((Spielplan!$E$2:$E$21=$A13)*(Spielplan!$I$2:$I$21&lt;&gt;"")*(Spielplan!$J$2:$J$21&lt;&gt;"")*Spielplan!$I$2:$I$21)+SUMPRODUCT((Spielplan!$G$2:$G$21=$A13)*(Spielplan!$I$2:$I$21&lt;&gt;"")*(Spielplan!$J$2:$J$21&lt;&gt;"")*Spielplan!$J$2:$J$21)</f>
      </c>
      <c r="H13" s="5">
        <f>SUMPRODUCT((Spielplan!$E$2:$E$21=$A13)*(Spielplan!$I$2:$I$21&lt;&gt;"")*(Spielplan!$J$2:$J$21&lt;&gt;"")*Spielplan!$J$2:$J$21)+SUMPRODUCT((Spielplan!$G$2:$G$21=$A13)*(Spielplan!$I$2:$I$21&lt;&gt;"")*(Spielplan!$J$2:$J$21&lt;&gt;"")*Spielplan!$I$2:$I$21)</f>
      </c>
      <c r="I13" s="5">
        <f>G13-H13</f>
      </c>
      <c r="J13" s="5">
        <f>3*D13+E13</f>
      </c>
      <c r="K13" s="5">
        <f>(SUMPRODUCT((Spielplan!$E$2:$E$21=$A13)*(Spielplan!$G$2:$G$21=$A$10)*(Spielplan!$I$2:$I$21&lt;&gt;"")*(Spielplan!$J$2:$J$21&lt;&gt;"")*(3*(Spielplan!$I$2:$I$21&gt;Spielplan!$J$2:$J$21)+(Spielplan!$I$2:$I$21=Spielplan!$J$2:$J$21)))+SUMPRODUCT((Spielplan!$G$2:$G$21=$A13)*(Spielplan!$E$2:$E$21=$A$10)*(Spielplan!$I$2:$I$21&lt;&gt;"")*(Spielplan!$J$2:$J$21&lt;&gt;"")*(3*(Spielplan!$J$2:$J$21&gt;Spielplan!$I$2:$I$21)+(Spielplan!$I$2:$I$21=Spielplan!$J$2:$J$21))))*($J$10=$J13)*($I$10=$I13)</f>
      </c>
      <c r="L13" s="5">
        <f>(SUMPRODUCT((Spielplan!$E$2:$E$21=$A13)*(Spielplan!$G$2:$G$21=$A$11)*(Spielplan!$I$2:$I$21&lt;&gt;"")*(Spielplan!$J$2:$J$21&lt;&gt;"")*(3*(Spielplan!$I$2:$I$21&gt;Spielplan!$J$2:$J$21)+(Spielplan!$I$2:$I$21=Spielplan!$J$2:$J$21)))+SUMPRODUCT((Spielplan!$G$2:$G$21=$A13)*(Spielplan!$E$2:$E$21=$A$11)*(Spielplan!$I$2:$I$21&lt;&gt;"")*(Spielplan!$J$2:$J$21&lt;&gt;"")*(3*(Spielplan!$J$2:$J$21&gt;Spielplan!$I$2:$I$21)+(Spielplan!$I$2:$I$21=Spielplan!$J$2:$J$21))))*($J$11=$J13)*($I$11=$I13)</f>
      </c>
      <c r="M13" s="5">
        <f>(SUMPRODUCT((Spielplan!$E$2:$E$21=$A13)*(Spielplan!$G$2:$G$21=$A$12)*(Spielplan!$I$2:$I$21&lt;&gt;"")*(Spielplan!$J$2:$J$21&lt;&gt;"")*(3*(Spielplan!$I$2:$I$21&gt;Spielplan!$J$2:$J$21)+(Spielplan!$I$2:$I$21=Spielplan!$J$2:$J$21)))+SUMPRODUCT((Spielplan!$G$2:$G$21=$A13)*(Spielplan!$E$2:$E$21=$A$12)*(Spielplan!$I$2:$I$21&lt;&gt;"")*(Spielplan!$J$2:$J$21&lt;&gt;"")*(3*(Spielplan!$J$2:$J$21&gt;Spielplan!$I$2:$I$21)+(Spielplan!$I$2:$I$21=Spielplan!$J$2:$J$21))))*($J$12=$J13)*($I$12=$I13)</f>
      </c>
      <c r="N13" s="5">
        <f>(SUMPRODUCT((Spielplan!$E$2:$E$21=$A13)*(Spielplan!$G$2:$G$21=$A$13)*(Spielplan!$I$2:$I$21&lt;&gt;"")*(Spielplan!$J$2:$J$21&lt;&gt;"")*(3*(Spielplan!$I$2:$I$21&gt;Spielplan!$J$2:$J$21)+(Spielplan!$I$2:$I$21=Spielplan!$J$2:$J$21)))+SUMPRODUCT((Spielplan!$G$2:$G$21=$A13)*(Spielplan!$E$2:$E$21=$A$13)*(Spielplan!$I$2:$I$21&lt;&gt;"")*(Spielplan!$J$2:$J$21&lt;&gt;"")*(3*(Spielplan!$J$2:$J$21&gt;Spielplan!$I$2:$I$21)+(Spielplan!$I$2:$I$21=Spielplan!$J$2:$J$21))))*($J$13=$J13)*($I$13=$I13)</f>
      </c>
      <c r="O13" s="5">
        <f>(SUMPRODUCT((Spielplan!$E$2:$E$21=$A13)*(Spielplan!$G$2:$G$21=$A$14)*(Spielplan!$I$2:$I$21&lt;&gt;"")*(Spielplan!$J$2:$J$21&lt;&gt;"")*(3*(Spielplan!$I$2:$I$21&gt;Spielplan!$J$2:$J$21)+(Spielplan!$I$2:$I$21=Spielplan!$J$2:$J$21)))+SUMPRODUCT((Spielplan!$G$2:$G$21=$A13)*(Spielplan!$E$2:$E$21=$A$14)*(Spielplan!$I$2:$I$21&lt;&gt;"")*(Spielplan!$J$2:$J$21&lt;&gt;"")*(3*(Spielplan!$J$2:$J$21&gt;Spielplan!$I$2:$I$21)+(Spielplan!$I$2:$I$21=Spielplan!$J$2:$J$21))))*($J$14=$J13)*($I$14=$I13)</f>
      </c>
      <c r="P13" s="5">
        <f>(SUMPRODUCT((Spielplan!$E$2:$E$21=$A13)*(Spielplan!$G$2:$G$21=$A$10)*(Spielplan!$I$2:$I$21&lt;&gt;"")*(Spielplan!$J$2:$J$21&lt;&gt;"")*(Spielplan!$I$2:$I$21-Spielplan!$J$2:$J$21))+SUMPRODUCT((Spielplan!$G$2:$G$21=$A13)*(Spielplan!$E$2:$E$21=$A$10)*(Spielplan!$I$2:$I$21&lt;&gt;"")*(Spielplan!$J$2:$J$21&lt;&gt;"")*(Spielplan!$J$2:$J$21-Spielplan!$I$2:$I$21)))*($J$10=$J13)*($I$10=$I13)</f>
      </c>
      <c r="Q13" s="5">
        <f>(SUMPRODUCT((Spielplan!$E$2:$E$21=$A13)*(Spielplan!$G$2:$G$21=$A$11)*(Spielplan!$I$2:$I$21&lt;&gt;"")*(Spielplan!$J$2:$J$21&lt;&gt;"")*(Spielplan!$I$2:$I$21-Spielplan!$J$2:$J$21))+SUMPRODUCT((Spielplan!$G$2:$G$21=$A13)*(Spielplan!$E$2:$E$21=$A$11)*(Spielplan!$I$2:$I$21&lt;&gt;"")*(Spielplan!$J$2:$J$21&lt;&gt;"")*(Spielplan!$J$2:$J$21-Spielplan!$I$2:$I$21)))*($J$11=$J13)*($I$11=$I13)</f>
      </c>
      <c r="R13" s="5">
        <f>(SUMPRODUCT((Spielplan!$E$2:$E$21=$A13)*(Spielplan!$G$2:$G$21=$A$12)*(Spielplan!$I$2:$I$21&lt;&gt;"")*(Spielplan!$J$2:$J$21&lt;&gt;"")*(Spielplan!$I$2:$I$21-Spielplan!$J$2:$J$21))+SUMPRODUCT((Spielplan!$G$2:$G$21=$A13)*(Spielplan!$E$2:$E$21=$A$12)*(Spielplan!$I$2:$I$21&lt;&gt;"")*(Spielplan!$J$2:$J$21&lt;&gt;"")*(Spielplan!$J$2:$J$21-Spielplan!$I$2:$I$21)))*($J$12=$J13)*($I$12=$I13)</f>
      </c>
      <c r="S13" s="5">
        <f>(SUMPRODUCT((Spielplan!$E$2:$E$21=$A13)*(Spielplan!$G$2:$G$21=$A$13)*(Spielplan!$I$2:$I$21&lt;&gt;"")*(Spielplan!$J$2:$J$21&lt;&gt;"")*(Spielplan!$I$2:$I$21-Spielplan!$J$2:$J$21))+SUMPRODUCT((Spielplan!$G$2:$G$21=$A13)*(Spielplan!$E$2:$E$21=$A$13)*(Spielplan!$I$2:$I$21&lt;&gt;"")*(Spielplan!$J$2:$J$21&lt;&gt;"")*(Spielplan!$J$2:$J$21-Spielplan!$I$2:$I$21)))*($J$13=$J13)*($I$13=$I13)</f>
      </c>
      <c r="T13" s="5">
        <f>(SUMPRODUCT((Spielplan!$E$2:$E$21=$A13)*(Spielplan!$G$2:$G$21=$A$14)*(Spielplan!$I$2:$I$21&lt;&gt;"")*(Spielplan!$J$2:$J$21&lt;&gt;"")*(Spielplan!$I$2:$I$21-Spielplan!$J$2:$J$21))+SUMPRODUCT((Spielplan!$G$2:$G$21=$A13)*(Spielplan!$E$2:$E$21=$A$14)*(Spielplan!$I$2:$I$21&lt;&gt;"")*(Spielplan!$J$2:$J$21&lt;&gt;"")*(Spielplan!$J$2:$J$21-Spielplan!$I$2:$I$21)))*($J$14=$J13)*($I$14=$I13)</f>
      </c>
      <c r="U13" s="5">
        <f>SUM(K13:O13)</f>
      </c>
      <c r="V13" s="5">
        <f>SUM(P13:T13)</f>
      </c>
      <c r="W13" s="5">
        <f>IF(INDEX(Teams!$D$2:$D$11,MATCH($A13,Teams!$A$2:$A$11,0))="","",INDEX(Teams!$D$2:$D$11,MATCH($A13,Teams!$A$2:$A$11,0)))</f>
      </c>
      <c r="X13" s="5">
        <f>J13*10^11+(I13+500)*10^8+U13*10^6+(V13+500)*10^3+G13</f>
      </c>
      <c r="Y13" s="5">
        <f>1+SUMPRODUCT(--($X$10:$X$14&gt;X13))+SUMPRODUCT(($X$10:$X$14=X13)*($W$10:$W$14&lt;&gt;"")*(W13&lt;&gt;"")*($W$10:$W$14&lt;W13))</f>
      </c>
      <c r="Z13" s="5">
        <f>IF(SUMPRODUCT(($X$10:$X$14=X13)*($A$10:$A$14&lt;&gt;A13)*((($W$10:$W$14="")+(W13="")+($W$10:$W$14=W13))&gt;0))&gt;0,1,0)</f>
      </c>
      <c r="AA13" s="5">
        <f>Y13+SUMPRODUCT(($Y$10:$Y$14=Y13)*($A$10:$A$14&lt;A13))</f>
      </c>
    </row>
    <row r="14" spans="1:27" x14ac:dyDescent="0.25">
      <c r="A14" s="5" t="s">
        <v>36</v>
      </c>
      <c r="B14" s="5">
        <f>IFERROR(INDEX(Teams!$B$2:$B$11,MATCH($A14,Teams!$A$2:$A$11,0)),"")</f>
      </c>
      <c r="C14" s="5">
        <f>SUMPRODUCT(((Spielplan!$E$2:$E$21=$A14)+(Spielplan!$G$2:$G$21=$A14))*(Spielplan!$I$2:$I$21&lt;&gt;"")*(Spielplan!$J$2:$J$21&lt;&gt;""))</f>
      </c>
      <c r="D14" s="5">
        <f>SUMPRODUCT((Spielplan!$E$2:$E$21=$A14)*(Spielplan!$I$2:$I$21&lt;&gt;"")*(Spielplan!$J$2:$J$21&lt;&gt;"")*(Spielplan!$I$2:$I$21&gt;Spielplan!$J$2:$J$21))+SUMPRODUCT((Spielplan!$G$2:$G$21=$A14)*(Spielplan!$I$2:$I$21&lt;&gt;"")*(Spielplan!$J$2:$J$21&lt;&gt;"")*(Spielplan!$J$2:$J$21&gt;Spielplan!$I$2:$I$21))</f>
      </c>
      <c r="E14" s="5">
        <f>SUMPRODUCT(((Spielplan!$E$2:$E$21=$A14)+(Spielplan!$G$2:$G$21=$A14))*(Spielplan!$I$2:$I$21&lt;&gt;"")*(Spielplan!$J$2:$J$21&lt;&gt;"")*(Spielplan!$I$2:$I$21=Spielplan!$J$2:$J$21))</f>
      </c>
      <c r="F14" s="5">
        <f>C14-D14-E14</f>
      </c>
      <c r="G14" s="5">
        <f>SUMPRODUCT((Spielplan!$E$2:$E$21=$A14)*(Spielplan!$I$2:$I$21&lt;&gt;"")*(Spielplan!$J$2:$J$21&lt;&gt;"")*Spielplan!$I$2:$I$21)+SUMPRODUCT((Spielplan!$G$2:$G$21=$A14)*(Spielplan!$I$2:$I$21&lt;&gt;"")*(Spielplan!$J$2:$J$21&lt;&gt;"")*Spielplan!$J$2:$J$21)</f>
      </c>
      <c r="H14" s="5">
        <f>SUMPRODUCT((Spielplan!$E$2:$E$21=$A14)*(Spielplan!$I$2:$I$21&lt;&gt;"")*(Spielplan!$J$2:$J$21&lt;&gt;"")*Spielplan!$J$2:$J$21)+SUMPRODUCT((Spielplan!$G$2:$G$21=$A14)*(Spielplan!$I$2:$I$21&lt;&gt;"")*(Spielplan!$J$2:$J$21&lt;&gt;"")*Spielplan!$I$2:$I$21)</f>
      </c>
      <c r="I14" s="5">
        <f>G14-H14</f>
      </c>
      <c r="J14" s="5">
        <f>3*D14+E14</f>
      </c>
      <c r="K14" s="5">
        <f>(SUMPRODUCT((Spielplan!$E$2:$E$21=$A14)*(Spielplan!$G$2:$G$21=$A$10)*(Spielplan!$I$2:$I$21&lt;&gt;"")*(Spielplan!$J$2:$J$21&lt;&gt;"")*(3*(Spielplan!$I$2:$I$21&gt;Spielplan!$J$2:$J$21)+(Spielplan!$I$2:$I$21=Spielplan!$J$2:$J$21)))+SUMPRODUCT((Spielplan!$G$2:$G$21=$A14)*(Spielplan!$E$2:$E$21=$A$10)*(Spielplan!$I$2:$I$21&lt;&gt;"")*(Spielplan!$J$2:$J$21&lt;&gt;"")*(3*(Spielplan!$J$2:$J$21&gt;Spielplan!$I$2:$I$21)+(Spielplan!$I$2:$I$21=Spielplan!$J$2:$J$21))))*($J$10=$J14)*($I$10=$I14)</f>
      </c>
      <c r="L14" s="5">
        <f>(SUMPRODUCT((Spielplan!$E$2:$E$21=$A14)*(Spielplan!$G$2:$G$21=$A$11)*(Spielplan!$I$2:$I$21&lt;&gt;"")*(Spielplan!$J$2:$J$21&lt;&gt;"")*(3*(Spielplan!$I$2:$I$21&gt;Spielplan!$J$2:$J$21)+(Spielplan!$I$2:$I$21=Spielplan!$J$2:$J$21)))+SUMPRODUCT((Spielplan!$G$2:$G$21=$A14)*(Spielplan!$E$2:$E$21=$A$11)*(Spielplan!$I$2:$I$21&lt;&gt;"")*(Spielplan!$J$2:$J$21&lt;&gt;"")*(3*(Spielplan!$J$2:$J$21&gt;Spielplan!$I$2:$I$21)+(Spielplan!$I$2:$I$21=Spielplan!$J$2:$J$21))))*($J$11=$J14)*($I$11=$I14)</f>
      </c>
      <c r="M14" s="5">
        <f>(SUMPRODUCT((Spielplan!$E$2:$E$21=$A14)*(Spielplan!$G$2:$G$21=$A$12)*(Spielplan!$I$2:$I$21&lt;&gt;"")*(Spielplan!$J$2:$J$21&lt;&gt;"")*(3*(Spielplan!$I$2:$I$21&gt;Spielplan!$J$2:$J$21)+(Spielplan!$I$2:$I$21=Spielplan!$J$2:$J$21)))+SUMPRODUCT((Spielplan!$G$2:$G$21=$A14)*(Spielplan!$E$2:$E$21=$A$12)*(Spielplan!$I$2:$I$21&lt;&gt;"")*(Spielplan!$J$2:$J$21&lt;&gt;"")*(3*(Spielplan!$J$2:$J$21&gt;Spielplan!$I$2:$I$21)+(Spielplan!$I$2:$I$21=Spielplan!$J$2:$J$21))))*($J$12=$J14)*($I$12=$I14)</f>
      </c>
      <c r="N14" s="5">
        <f>(SUMPRODUCT((Spielplan!$E$2:$E$21=$A14)*(Spielplan!$G$2:$G$21=$A$13)*(Spielplan!$I$2:$I$21&lt;&gt;"")*(Spielplan!$J$2:$J$21&lt;&gt;"")*(3*(Spielplan!$I$2:$I$21&gt;Spielplan!$J$2:$J$21)+(Spielplan!$I$2:$I$21=Spielplan!$J$2:$J$21)))+SUMPRODUCT((Spielplan!$G$2:$G$21=$A14)*(Spielplan!$E$2:$E$21=$A$13)*(Spielplan!$I$2:$I$21&lt;&gt;"")*(Spielplan!$J$2:$J$21&lt;&gt;"")*(3*(Spielplan!$J$2:$J$21&gt;Spielplan!$I$2:$I$21)+(Spielplan!$I$2:$I$21=Spielplan!$J$2:$J$21))))*($J$13=$J14)*($I$13=$I14)</f>
      </c>
      <c r="O14" s="5">
        <f>(SUMPRODUCT((Spielplan!$E$2:$E$21=$A14)*(Spielplan!$G$2:$G$21=$A$14)*(Spielplan!$I$2:$I$21&lt;&gt;"")*(Spielplan!$J$2:$J$21&lt;&gt;"")*(3*(Spielplan!$I$2:$I$21&gt;Spielplan!$J$2:$J$21)+(Spielplan!$I$2:$I$21=Spielplan!$J$2:$J$21)))+SUMPRODUCT((Spielplan!$G$2:$G$21=$A14)*(Spielplan!$E$2:$E$21=$A$14)*(Spielplan!$I$2:$I$21&lt;&gt;"")*(Spielplan!$J$2:$J$21&lt;&gt;"")*(3*(Spielplan!$J$2:$J$21&gt;Spielplan!$I$2:$I$21)+(Spielplan!$I$2:$I$21=Spielplan!$J$2:$J$21))))*($J$14=$J14)*($I$14=$I14)</f>
      </c>
      <c r="P14" s="5">
        <f>(SUMPRODUCT((Spielplan!$E$2:$E$21=$A14)*(Spielplan!$G$2:$G$21=$A$10)*(Spielplan!$I$2:$I$21&lt;&gt;"")*(Spielplan!$J$2:$J$21&lt;&gt;"")*(Spielplan!$I$2:$I$21-Spielplan!$J$2:$J$21))+SUMPRODUCT((Spielplan!$G$2:$G$21=$A14)*(Spielplan!$E$2:$E$21=$A$10)*(Spielplan!$I$2:$I$21&lt;&gt;"")*(Spielplan!$J$2:$J$21&lt;&gt;"")*(Spielplan!$J$2:$J$21-Spielplan!$I$2:$I$21)))*($J$10=$J14)*($I$10=$I14)</f>
      </c>
      <c r="Q14" s="5">
        <f>(SUMPRODUCT((Spielplan!$E$2:$E$21=$A14)*(Spielplan!$G$2:$G$21=$A$11)*(Spielplan!$I$2:$I$21&lt;&gt;"")*(Spielplan!$J$2:$J$21&lt;&gt;"")*(Spielplan!$I$2:$I$21-Spielplan!$J$2:$J$21))+SUMPRODUCT((Spielplan!$G$2:$G$21=$A14)*(Spielplan!$E$2:$E$21=$A$11)*(Spielplan!$I$2:$I$21&lt;&gt;"")*(Spielplan!$J$2:$J$21&lt;&gt;"")*(Spielplan!$J$2:$J$21-Spielplan!$I$2:$I$21)))*($J$11=$J14)*($I$11=$I14)</f>
      </c>
      <c r="R14" s="5">
        <f>(SUMPRODUCT((Spielplan!$E$2:$E$21=$A14)*(Spielplan!$G$2:$G$21=$A$12)*(Spielplan!$I$2:$I$21&lt;&gt;"")*(Spielplan!$J$2:$J$21&lt;&gt;"")*(Spielplan!$I$2:$I$21-Spielplan!$J$2:$J$21))+SUMPRODUCT((Spielplan!$G$2:$G$21=$A14)*(Spielplan!$E$2:$E$21=$A$12)*(Spielplan!$I$2:$I$21&lt;&gt;"")*(Spielplan!$J$2:$J$21&lt;&gt;"")*(Spielplan!$J$2:$J$21-Spielplan!$I$2:$I$21)))*($J$12=$J14)*($I$12=$I14)</f>
      </c>
      <c r="S14" s="5">
        <f>(SUMPRODUCT((Spielplan!$E$2:$E$21=$A14)*(Spielplan!$G$2:$G$21=$A$13)*(Spielplan!$I$2:$I$21&lt;&gt;"")*(Spielplan!$J$2:$J$21&lt;&gt;"")*(Spielplan!$I$2:$I$21-Spielplan!$J$2:$J$21))+SUMPRODUCT((Spielplan!$G$2:$G$21=$A14)*(Spielplan!$E$2:$E$21=$A$13)*(Spielplan!$I$2:$I$21&lt;&gt;"")*(Spielplan!$J$2:$J$21&lt;&gt;"")*(Spielplan!$J$2:$J$21-Spielplan!$I$2:$I$21)))*($J$13=$J14)*($I$13=$I14)</f>
      </c>
      <c r="T14" s="5">
        <f>(SUMPRODUCT((Spielplan!$E$2:$E$21=$A14)*(Spielplan!$G$2:$G$21=$A$14)*(Spielplan!$I$2:$I$21&lt;&gt;"")*(Spielplan!$J$2:$J$21&lt;&gt;"")*(Spielplan!$I$2:$I$21-Spielplan!$J$2:$J$21))+SUMPRODUCT((Spielplan!$G$2:$G$21=$A14)*(Spielplan!$E$2:$E$21=$A$14)*(Spielplan!$I$2:$I$21&lt;&gt;"")*(Spielplan!$J$2:$J$21&lt;&gt;"")*(Spielplan!$J$2:$J$21-Spielplan!$I$2:$I$21)))*($J$14=$J14)*($I$14=$I14)</f>
      </c>
      <c r="U14" s="5">
        <f>SUM(K14:O14)</f>
      </c>
      <c r="V14" s="5">
        <f>SUM(P14:T14)</f>
      </c>
      <c r="W14" s="5">
        <f>IF(INDEX(Teams!$D$2:$D$11,MATCH($A14,Teams!$A$2:$A$11,0))="","",INDEX(Teams!$D$2:$D$11,MATCH($A14,Teams!$A$2:$A$11,0)))</f>
      </c>
      <c r="X14" s="5">
        <f>J14*10^11+(I14+500)*10^8+U14*10^6+(V14+500)*10^3+G14</f>
      </c>
      <c r="Y14" s="5">
        <f>1+SUMPRODUCT(--($X$10:$X$14&gt;X14))+SUMPRODUCT(($X$10:$X$14=X14)*($W$10:$W$14&lt;&gt;"")*(W14&lt;&gt;"")*($W$10:$W$14&lt;W14))</f>
      </c>
      <c r="Z14" s="5">
        <f>IF(SUMPRODUCT(($X$10:$X$14=X14)*($A$10:$A$14&lt;&gt;A14)*((($W$10:$W$14="")+(W14="")+($W$10:$W$14=W14))&gt;0))&gt;0,1,0)</f>
      </c>
      <c r="AA14" s="5">
        <f>Y14+SUMPRODUCT(($Y$10:$Y$14=Y14)*($A$10:$A$14&lt;A14))</f>
      </c>
    </row>
    <row r="16" spans="1:2" x14ac:dyDescent="0.25">
      <c r="A16" t="s">
        <v>92</v>
      </c>
      <c r="B16">
        <f>IF(SUMPRODUCT((Spielplan!$D$2:$D$21="Gruppe B")*(Spielplan!$I$2:$I$21&lt;&gt;"")*(Spielplan!$J$2:$J$21&lt;&gt;""))=10,1,0)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FormatPr defaultRowHeight="15" outlineLevelRow="0" outlineLevelCol="0" x14ac:dyDescent="55"/>
  <cols>
    <col min="1" max="1" width="3" customWidth="1"/>
    <col min="2" max="2" width="26" customWidth="1"/>
    <col min="3" max="3" width="6" customWidth="1"/>
    <col min="4" max="4" width="3" customWidth="1"/>
    <col min="5" max="5" width="26" customWidth="1"/>
    <col min="6" max="6" width="6" customWidth="1"/>
  </cols>
  <sheetData>
    <row r="1" spans="1:1" x14ac:dyDescent="0.25">
      <c r="A1" s="1" t="s">
        <v>103</v>
      </c>
    </row>
    <row r="3" spans="2:2" x14ac:dyDescent="0.25">
      <c r="B3" s="1" t="s">
        <v>57</v>
      </c>
    </row>
    <row r="4" spans="2:5" x14ac:dyDescent="0.25">
      <c r="B4">
        <f>Spielplan!F23</f>
      </c>
      <c r="C4">
        <f>IF(Spielplan!I23="","",Spielplan!I23)</f>
      </c>
      <c r="E4" s="1" t="s">
        <v>62</v>
      </c>
    </row>
    <row r="5" spans="2:6" x14ac:dyDescent="0.25">
      <c r="B5">
        <f>Spielplan!H23</f>
      </c>
      <c r="C5">
        <f>IF(Spielplan!J23="","",Spielplan!J23)</f>
      </c>
      <c r="E5">
        <f>Spielplan!F28</f>
      </c>
      <c r="F5">
        <f>IF(Spielplan!I28="","",Spielplan!I28)</f>
      </c>
    </row>
    <row r="6" spans="5:6" x14ac:dyDescent="0.25">
      <c r="E6">
        <f>Spielplan!H28</f>
      </c>
      <c r="F6">
        <f>IF(Spielplan!J28="","",Spielplan!J28)</f>
      </c>
    </row>
    <row r="7" spans="2:2" x14ac:dyDescent="0.25">
      <c r="B7" s="1" t="s">
        <v>59</v>
      </c>
    </row>
    <row r="8" spans="2:5" x14ac:dyDescent="0.25">
      <c r="B8">
        <f>Spielplan!F25</f>
      </c>
      <c r="C8">
        <f>IF(Spielplan!I25="","",Spielplan!I25)</f>
      </c>
      <c r="E8" s="1" t="s">
        <v>61</v>
      </c>
    </row>
    <row r="9" spans="2:6" x14ac:dyDescent="0.25">
      <c r="B9">
        <f>Spielplan!H25</f>
      </c>
      <c r="C9">
        <f>IF(Spielplan!J25="","",Spielplan!J25)</f>
      </c>
      <c r="E9">
        <f>Spielplan!F27</f>
      </c>
      <c r="F9">
        <f>IF(Spielplan!I27="","",Spielplan!I27)</f>
      </c>
    </row>
    <row r="10" spans="5:6" x14ac:dyDescent="0.25">
      <c r="E10">
        <f>Spielplan!H27</f>
      </c>
      <c r="F10">
        <f>IF(Spielplan!J27="","",Spielplan!J27)</f>
      </c>
    </row>
    <row r="12" spans="2:2" x14ac:dyDescent="0.25">
      <c r="B12" s="1" t="s">
        <v>104</v>
      </c>
    </row>
    <row r="13" spans="2:2" x14ac:dyDescent="0.25">
      <c r="B13" s="1" t="s">
        <v>60</v>
      </c>
    </row>
    <row r="14" spans="2:3" x14ac:dyDescent="0.25">
      <c r="B14">
        <f>Spielplan!F26</f>
      </c>
      <c r="C14">
        <f>IF(Spielplan!I26="","",Spielplan!I26)</f>
      </c>
    </row>
    <row r="15" spans="2:3" x14ac:dyDescent="0.25">
      <c r="B15">
        <f>Spielplan!H26</f>
      </c>
      <c r="C15">
        <f>IF(Spielplan!J26="","",Spielplan!J26)</f>
      </c>
    </row>
    <row r="17" spans="2:2" x14ac:dyDescent="0.25">
      <c r="B17" s="1" t="s">
        <v>58</v>
      </c>
    </row>
    <row r="18" spans="2:3" x14ac:dyDescent="0.25">
      <c r="B18">
        <f>Spielplan!F24</f>
      </c>
      <c r="C18">
        <f>IF(Spielplan!I24="","",Spielplan!I24)</f>
      </c>
    </row>
    <row r="19" spans="2:3" x14ac:dyDescent="0.25">
      <c r="B19">
        <f>Spielplan!H24</f>
      </c>
      <c r="C19">
        <f>IF(Spielplan!J24="","",Spielplan!J24)</f>
      </c>
    </row>
    <row r="21" spans="2:2" x14ac:dyDescent="0.25">
      <c r="B21" s="1" t="s">
        <v>55</v>
      </c>
    </row>
    <row r="22" spans="2:3" x14ac:dyDescent="0.25">
      <c r="B22">
        <f>Spielplan!F22</f>
      </c>
      <c r="C22">
        <f>IF(Spielplan!I22="","",Spielplan!I22)</f>
      </c>
    </row>
    <row r="23" spans="2:3" x14ac:dyDescent="0.25">
      <c r="B23">
        <f>Spielplan!H22</f>
      </c>
      <c r="C23">
        <f>IF(Spielplan!J22="","",Spielplan!J22)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6" customWidth="1"/>
    <col min="3" max="3" width="8" customWidth="1"/>
    <col min="4" max="4" width="28" customWidth="1"/>
  </cols>
  <sheetData>
    <row r="1" spans="1:4" s="1" customFormat="1" x14ac:dyDescent="0.25">
      <c r="A1" s="1" t="s">
        <v>63</v>
      </c>
      <c r="B1" s="1" t="s">
        <v>13</v>
      </c>
      <c r="C1" s="1" t="s">
        <v>14</v>
      </c>
      <c r="D1" s="1" t="s">
        <v>105</v>
      </c>
    </row>
    <row r="2" spans="1:4" x14ac:dyDescent="0.25">
      <c r="A2">
        <v>1</v>
      </c>
      <c r="B2">
        <f>IFERROR(INDEX(Teams!$B$2:$B$11,MATCH(Spielplan!$L$28,Teams!$A$2:$A$11,0)),"")</f>
      </c>
      <c r="C2">
        <f>IFERROR(INDEX(Teams!$C$2:$C$11,MATCH(Spielplan!$L$28,Teams!$A$2:$A$11,0)),"")</f>
      </c>
      <c r="D2" t="s">
        <v>106</v>
      </c>
    </row>
    <row r="3" spans="1:4" x14ac:dyDescent="0.25">
      <c r="A3">
        <v>2</v>
      </c>
      <c r="B3">
        <f>IFERROR(INDEX(Teams!$B$2:$B$11,MATCH(Spielplan!$M$28,Teams!$A$2:$A$11,0)),"")</f>
      </c>
      <c r="C3">
        <f>IFERROR(INDEX(Teams!$C$2:$C$11,MATCH(Spielplan!$M$28,Teams!$A$2:$A$11,0)),"")</f>
      </c>
      <c r="D3" t="s">
        <v>107</v>
      </c>
    </row>
    <row r="4" spans="1:4" x14ac:dyDescent="0.25">
      <c r="A4">
        <v>3</v>
      </c>
      <c r="B4">
        <f>IFERROR(INDEX(Teams!$B$2:$B$11,MATCH(Spielplan!$L$27,Teams!$A$2:$A$11,0)),"")</f>
      </c>
      <c r="C4">
        <f>IFERROR(INDEX(Teams!$C$2:$C$11,MATCH(Spielplan!$L$27,Teams!$A$2:$A$11,0)),"")</f>
      </c>
      <c r="D4" t="s">
        <v>108</v>
      </c>
    </row>
    <row r="5" spans="1:4" x14ac:dyDescent="0.25">
      <c r="A5">
        <v>4</v>
      </c>
      <c r="B5">
        <f>IFERROR(INDEX(Teams!$B$2:$B$11,MATCH(Spielplan!$M$27,Teams!$A$2:$A$11,0)),"")</f>
      </c>
      <c r="C5">
        <f>IFERROR(INDEX(Teams!$C$2:$C$11,MATCH(Spielplan!$M$27,Teams!$A$2:$A$11,0)),"")</f>
      </c>
      <c r="D5" t="s">
        <v>109</v>
      </c>
    </row>
    <row r="6" spans="1:4" x14ac:dyDescent="0.25">
      <c r="A6">
        <v>5</v>
      </c>
      <c r="B6">
        <f>IFERROR(INDEX(Teams!$B$2:$B$11,MATCH(Spielplan!$L$26,Teams!$A$2:$A$11,0)),"")</f>
      </c>
      <c r="C6">
        <f>IFERROR(INDEX(Teams!$C$2:$C$11,MATCH(Spielplan!$L$26,Teams!$A$2:$A$11,0)),"")</f>
      </c>
      <c r="D6" t="s">
        <v>110</v>
      </c>
    </row>
    <row r="7" spans="1:4" x14ac:dyDescent="0.25">
      <c r="A7">
        <v>6</v>
      </c>
      <c r="B7">
        <f>IFERROR(INDEX(Teams!$B$2:$B$11,MATCH(Spielplan!$M$26,Teams!$A$2:$A$11,0)),"")</f>
      </c>
      <c r="C7">
        <f>IFERROR(INDEX(Teams!$C$2:$C$11,MATCH(Spielplan!$M$26,Teams!$A$2:$A$11,0)),"")</f>
      </c>
      <c r="D7" t="s">
        <v>111</v>
      </c>
    </row>
    <row r="8" spans="1:4" x14ac:dyDescent="0.25">
      <c r="A8">
        <v>7</v>
      </c>
      <c r="B8">
        <f>IFERROR(INDEX(Teams!$B$2:$B$11,MATCH(Spielplan!$L$24,Teams!$A$2:$A$11,0)),"")</f>
      </c>
      <c r="C8">
        <f>IFERROR(INDEX(Teams!$C$2:$C$11,MATCH(Spielplan!$L$24,Teams!$A$2:$A$11,0)),"")</f>
      </c>
      <c r="D8" t="s">
        <v>112</v>
      </c>
    </row>
    <row r="9" spans="1:4" x14ac:dyDescent="0.25">
      <c r="A9">
        <v>8</v>
      </c>
      <c r="B9">
        <f>IFERROR(INDEX(Teams!$B$2:$B$11,MATCH(Spielplan!$M$24,Teams!$A$2:$A$11,0)),"")</f>
      </c>
      <c r="C9">
        <f>IFERROR(INDEX(Teams!$C$2:$C$11,MATCH(Spielplan!$M$24,Teams!$A$2:$A$11,0)),"")</f>
      </c>
      <c r="D9" t="s">
        <v>113</v>
      </c>
    </row>
    <row r="10" spans="1:4" x14ac:dyDescent="0.25">
      <c r="A10">
        <v>9</v>
      </c>
      <c r="B10">
        <f>IFERROR(INDEX(Teams!$B$2:$B$11,MATCH(Spielplan!$L$22,Teams!$A$2:$A$11,0)),"")</f>
      </c>
      <c r="C10">
        <f>IFERROR(INDEX(Teams!$C$2:$C$11,MATCH(Spielplan!$L$22,Teams!$A$2:$A$11,0)),"")</f>
      </c>
      <c r="D10" t="s">
        <v>114</v>
      </c>
    </row>
    <row r="11" spans="1:4" x14ac:dyDescent="0.25">
      <c r="A11">
        <v>10</v>
      </c>
      <c r="B11">
        <f>IFERROR(INDEX(Teams!$B$2:$B$11,MATCH(Spielplan!$M$22,Teams!$A$2:$A$11,0)),"")</f>
      </c>
      <c r="C11">
        <f>IFERROR(INDEX(Teams!$C$2:$C$11,MATCH(Spielplan!$M$22,Teams!$A$2:$A$11,0)),"")</f>
      </c>
      <c r="D11" t="s">
        <v>115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4" customWidth="1"/>
    <col min="3" max="3" width="6" customWidth="1"/>
  </cols>
  <sheetData>
    <row r="1" spans="1:3" s="1" customFormat="1" x14ac:dyDescent="0.25">
      <c r="A1" s="1" t="s">
        <v>116</v>
      </c>
      <c r="B1" s="1" t="s">
        <v>13</v>
      </c>
      <c r="C1" s="1" t="s">
        <v>68</v>
      </c>
    </row>
    <row r="2" spans="1:3" x14ac:dyDescent="0.25">
      <c r="A2" t="s">
        <v>117</v>
      </c>
      <c r="B2" t="s">
        <v>17</v>
      </c>
      <c r="C2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Einstellungen</vt:lpstr>
      <vt:lpstr>Teams</vt:lpstr>
      <vt:lpstr>Spielplan</vt:lpstr>
      <vt:lpstr>Gruppe A</vt:lpstr>
      <vt:lpstr>Gruppe B</vt:lpstr>
      <vt:lpstr>Turnierbaum</vt:lpstr>
      <vt:lpstr>Endplatzierung</vt:lpstr>
      <vt:lpstr>Spieler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2026-10-10T17:13:17Z</dcterms:created>
  <dcterms:modified xsi:type="dcterms:W3CDTF">2026-10-10T17:13:17Z</dcterms:modified>
</cp:coreProperties>
</file>